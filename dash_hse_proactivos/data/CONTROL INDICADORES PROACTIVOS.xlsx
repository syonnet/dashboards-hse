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triboilgas.sharepoint.com/conexpet/SSA CONEXPET/2. REGISTROS QHSE/9. INDICADORES QHSE GESTIÓN MENSUAL 23-24-25/2) INDICADORES REAC Y PROAC CNX 22-23-24-25-26/2026/"/>
    </mc:Choice>
  </mc:AlternateContent>
  <xr:revisionPtr revIDLastSave="424" documentId="13_ncr:1_{69506B60-3616-49AF-804E-16CED67111B4}" xr6:coauthVersionLast="47" xr6:coauthVersionMax="47" xr10:uidLastSave="{AE94632B-2894-4EB4-ACB9-1BE9A7BF1CAF}"/>
  <bookViews>
    <workbookView xWindow="20370" yWindow="-120" windowWidth="25440" windowHeight="15270" tabRatio="760" activeTab="7" xr2:uid="{00000000-000D-0000-FFFF-FFFF00000000}"/>
  </bookViews>
  <sheets>
    <sheet name="ART" sheetId="4" r:id="rId1"/>
    <sheet name="OPAS" sheetId="1" r:id="rId2"/>
    <sheet name="IDPS" sheetId="6" r:id="rId3"/>
    <sheet name="IDS" sheetId="9" r:id="rId4"/>
    <sheet name="IENTS" sheetId="10" r:id="rId5"/>
    <sheet name="OSEA" sheetId="5" r:id="rId6"/>
    <sheet name="ICAI" sheetId="8" r:id="rId7"/>
    <sheet name="INDICE DE GESTIÓN (IG)" sheetId="11" r:id="rId8"/>
  </sheets>
  <definedNames>
    <definedName name="_xlnm.Print_Area" localSheetId="7">'INDICE DE GESTIÓN (IG)'!$A$1:$Q$68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11" l="1"/>
  <c r="H13" i="8"/>
  <c r="C13" i="8"/>
  <c r="D13" i="8"/>
  <c r="E17" i="11" l="1"/>
  <c r="I13" i="8"/>
  <c r="B14" i="10"/>
  <c r="K13" i="8"/>
  <c r="C14" i="5"/>
  <c r="D14" i="5"/>
  <c r="E14" i="5"/>
  <c r="F14" i="5"/>
  <c r="G14" i="5"/>
  <c r="H14" i="5"/>
  <c r="I14" i="5"/>
  <c r="J14" i="5"/>
  <c r="K14" i="5"/>
  <c r="L14" i="5"/>
  <c r="M14" i="5"/>
  <c r="E13" i="8"/>
  <c r="F13" i="8"/>
  <c r="G13" i="8"/>
  <c r="J13" i="8"/>
  <c r="L13" i="8"/>
  <c r="M13" i="8"/>
  <c r="C15" i="6"/>
  <c r="D15" i="6"/>
  <c r="E15" i="6"/>
  <c r="F15" i="6"/>
  <c r="G15" i="6"/>
  <c r="H15" i="6"/>
  <c r="I15" i="6"/>
  <c r="J15" i="6"/>
  <c r="K15" i="6"/>
  <c r="L15" i="6"/>
  <c r="M15" i="6"/>
  <c r="C14" i="9"/>
  <c r="D14" i="9"/>
  <c r="E14" i="9"/>
  <c r="F14" i="9"/>
  <c r="G14" i="9"/>
  <c r="H14" i="9"/>
  <c r="I14" i="9"/>
  <c r="J14" i="9"/>
  <c r="K14" i="9"/>
  <c r="L14" i="9"/>
  <c r="M14" i="9"/>
  <c r="C15" i="4"/>
  <c r="D15" i="4"/>
  <c r="E15" i="4"/>
  <c r="F15" i="4"/>
  <c r="G15" i="4"/>
  <c r="H15" i="4"/>
  <c r="I15" i="4"/>
  <c r="K11" i="11" s="1"/>
  <c r="J15" i="4"/>
  <c r="K15" i="4"/>
  <c r="L15" i="4"/>
  <c r="M15" i="4"/>
  <c r="C16" i="1"/>
  <c r="D16" i="1"/>
  <c r="E16" i="1"/>
  <c r="F16" i="1"/>
  <c r="G16" i="1"/>
  <c r="H16" i="1"/>
  <c r="I16" i="1"/>
  <c r="J16" i="1"/>
  <c r="K16" i="1"/>
  <c r="L16" i="1"/>
  <c r="M16" i="1"/>
  <c r="B14" i="9" l="1"/>
  <c r="M14" i="10" l="1"/>
  <c r="L14" i="10"/>
  <c r="K14" i="10"/>
  <c r="J14" i="10"/>
  <c r="I14" i="10"/>
  <c r="H14" i="10"/>
  <c r="G14" i="10"/>
  <c r="F14" i="10"/>
  <c r="D14" i="10"/>
  <c r="C14" i="10"/>
  <c r="E14" i="10"/>
  <c r="D14" i="11" l="1"/>
  <c r="B15" i="4"/>
  <c r="D11" i="11" s="1"/>
  <c r="E11" i="11"/>
  <c r="F11" i="11"/>
  <c r="G11" i="11"/>
  <c r="H11" i="11"/>
  <c r="I11" i="11"/>
  <c r="L11" i="11"/>
  <c r="M11" i="11"/>
  <c r="N11" i="11"/>
  <c r="O11" i="11"/>
  <c r="B14" i="5"/>
  <c r="D16" i="11" s="1"/>
  <c r="E16" i="11"/>
  <c r="F16" i="11"/>
  <c r="G16" i="11"/>
  <c r="H16" i="11"/>
  <c r="I16" i="11"/>
  <c r="J16" i="11"/>
  <c r="K16" i="11"/>
  <c r="L16" i="11"/>
  <c r="M16" i="11"/>
  <c r="N16" i="11"/>
  <c r="O16" i="11"/>
  <c r="B13" i="8"/>
  <c r="D17" i="11" s="1"/>
  <c r="F17" i="11"/>
  <c r="G17" i="11"/>
  <c r="H17" i="11"/>
  <c r="I17" i="11"/>
  <c r="J17" i="11"/>
  <c r="K17" i="11"/>
  <c r="M17" i="11"/>
  <c r="N17" i="11"/>
  <c r="O17" i="11"/>
  <c r="B15" i="6"/>
  <c r="D13" i="11" s="1"/>
  <c r="E13" i="11"/>
  <c r="F13" i="11"/>
  <c r="G13" i="11"/>
  <c r="H13" i="11"/>
  <c r="I13" i="11"/>
  <c r="J13" i="11"/>
  <c r="K13" i="11"/>
  <c r="L13" i="11"/>
  <c r="M13" i="11"/>
  <c r="O13" i="11"/>
  <c r="F14" i="11"/>
  <c r="G14" i="11"/>
  <c r="H14" i="11"/>
  <c r="I14" i="11"/>
  <c r="J14" i="11"/>
  <c r="K14" i="11"/>
  <c r="L14" i="11"/>
  <c r="M14" i="11"/>
  <c r="N14" i="11"/>
  <c r="O14" i="11"/>
  <c r="D15" i="11"/>
  <c r="F15" i="11"/>
  <c r="G15" i="11"/>
  <c r="H15" i="11"/>
  <c r="I15" i="11"/>
  <c r="J15" i="11"/>
  <c r="L15" i="11"/>
  <c r="M15" i="11"/>
  <c r="N15" i="11"/>
  <c r="O15" i="11"/>
  <c r="J11" i="11"/>
  <c r="N13" i="11"/>
  <c r="L17" i="11"/>
  <c r="E14" i="11"/>
  <c r="E15" i="11"/>
  <c r="K15" i="11"/>
  <c r="B16" i="1"/>
  <c r="D12" i="11" s="1"/>
  <c r="E12" i="11"/>
  <c r="F12" i="11"/>
  <c r="G12" i="11"/>
  <c r="H12" i="11"/>
  <c r="I12" i="11"/>
  <c r="J12" i="11"/>
  <c r="K12" i="11"/>
  <c r="L12" i="11"/>
  <c r="M12" i="11"/>
  <c r="N12" i="11"/>
  <c r="O12" i="11"/>
  <c r="P16" i="11" l="1"/>
  <c r="P15" i="11"/>
  <c r="P13" i="11"/>
  <c r="O19" i="11"/>
  <c r="I19" i="11"/>
  <c r="J19" i="11"/>
  <c r="E19" i="11"/>
  <c r="D19" i="11"/>
  <c r="P11" i="11"/>
  <c r="G19" i="11"/>
  <c r="P12" i="11"/>
  <c r="P17" i="11"/>
  <c r="F19" i="11"/>
  <c r="N19" i="11"/>
  <c r="M19" i="11"/>
  <c r="P14" i="11"/>
  <c r="H19" i="11"/>
  <c r="L19" i="11"/>
  <c r="K19" i="11"/>
  <c r="J21" i="11"/>
  <c r="G21" i="11"/>
  <c r="K21" i="11"/>
  <c r="N21" i="11"/>
  <c r="L21" i="11"/>
  <c r="H21" i="11"/>
  <c r="F21" i="11"/>
  <c r="D21" i="11"/>
  <c r="E21" i="11"/>
  <c r="O21" i="11"/>
  <c r="M21" i="11"/>
  <c r="I21" i="11"/>
  <c r="P21" i="11" l="1"/>
</calcChain>
</file>

<file path=xl/sharedStrings.xml><?xml version="1.0" encoding="utf-8"?>
<sst xmlns="http://schemas.openxmlformats.org/spreadsheetml/2006/main" count="214" uniqueCount="77">
  <si>
    <t>CONTROL DE INDICADORES PROACTIVOS DE GESTIÓN HSE</t>
  </si>
  <si>
    <t>CODIGO:         
F-HSE-77</t>
  </si>
  <si>
    <t>Fecha de emision: 10-01-2022</t>
  </si>
  <si>
    <t>Fecha de actualización: 23/06/2025</t>
  </si>
  <si>
    <t>Revision: 02</t>
  </si>
  <si>
    <t>Pagina 1 de 1</t>
  </si>
  <si>
    <t>INDICADOR:</t>
  </si>
  <si>
    <r>
      <rPr>
        <b/>
        <sz val="11"/>
        <rFont val="Century Gothic"/>
        <family val="2"/>
      </rPr>
      <t>Realizado por:</t>
    </r>
    <r>
      <rPr>
        <sz val="11"/>
        <rFont val="Century Gothic"/>
        <family val="2"/>
      </rPr>
      <t xml:space="preserve">  Ing. Diego Cushi MSc.</t>
    </r>
  </si>
  <si>
    <t>ANÁLISIS DE RIESGO DE TAREA (ART)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</si>
  <si>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</si>
  <si>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</si>
  <si>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</si>
  <si>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</si>
  <si>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</si>
  <si>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</si>
  <si>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</si>
  <si>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</si>
  <si>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</si>
  <si>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</si>
  <si>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</si>
  <si>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</si>
  <si>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ART programados</t>
  </si>
  <si>
    <t>ART realizados</t>
  </si>
  <si>
    <t>I ART</t>
  </si>
  <si>
    <t>OBSERVACIÓN PLANEADA DE ACCIÓN SUBESTÁNDAR (OPAS)</t>
  </si>
  <si>
    <t>Inspecciones de trabajo y actos inseguros</t>
  </si>
  <si>
    <t>Inspecciones programadas</t>
  </si>
  <si>
    <t>Inspecciones realizadas</t>
  </si>
  <si>
    <t># Personas observadas</t>
  </si>
  <si>
    <t># Personas conforme</t>
  </si>
  <si>
    <t>I OPAI</t>
  </si>
  <si>
    <t>Diálogo Periódico de Seguridad (IDPS)</t>
  </si>
  <si>
    <t xml:space="preserve">Charlas prejornadas </t>
  </si>
  <si>
    <t>Diàlogos programados</t>
  </si>
  <si>
    <t>Diàlogos realizados</t>
  </si>
  <si>
    <t># participantes previsto</t>
  </si>
  <si>
    <t># asistentes</t>
  </si>
  <si>
    <t>I DPS</t>
  </si>
  <si>
    <t>DEMANDA DE SEGURIDAD (DS)</t>
  </si>
  <si>
    <t xml:space="preserve">Reporte de condiciones subestandar </t>
  </si>
  <si>
    <t># Condic. Subest. Detectadas</t>
  </si>
  <si>
    <t># Condic. Subestand. eliminadas</t>
  </si>
  <si>
    <t>I DS</t>
  </si>
  <si>
    <t>ENTRENAMIENTOS DE SEGURIDAD (ENTS)</t>
  </si>
  <si>
    <t xml:space="preserve">Entrenamientos y cursos </t>
  </si>
  <si>
    <t># Total empleados prog. Mes</t>
  </si>
  <si>
    <t># Empleados Capacitados / mes</t>
  </si>
  <si>
    <t>I ENT</t>
  </si>
  <si>
    <t>ORDENES DE TRABAJO ESTANDARIZADAS Y AUDITABLES (OSEA)</t>
  </si>
  <si>
    <t>Permisos de trabajo</t>
  </si>
  <si>
    <t>Total de tareas deberían PT</t>
  </si>
  <si>
    <t>Tareas usando PT</t>
  </si>
  <si>
    <t>I ARTT</t>
  </si>
  <si>
    <t>Control de accidentes / incidentes (ICAI)</t>
  </si>
  <si>
    <t>Reportes de investigaciòn - medidas/acciones correctivas</t>
  </si>
  <si>
    <t># Medidas propuestas Plan de Acción</t>
  </si>
  <si>
    <t># Medidas implementadas Plan de Acción</t>
  </si>
  <si>
    <t>I CAI</t>
  </si>
  <si>
    <t>CODIGO:   
F-HSE-77</t>
  </si>
  <si>
    <t>Página 1 de 1</t>
  </si>
  <si>
    <r>
      <rPr>
        <b/>
        <sz val="11"/>
        <rFont val="Century Gothic"/>
        <family val="2"/>
      </rPr>
      <t>Revisado por:</t>
    </r>
    <r>
      <rPr>
        <sz val="11"/>
        <rFont val="Century Gothic"/>
        <family val="2"/>
      </rPr>
      <t xml:space="preserve">  Diego Cushi - Jefe HSE</t>
    </r>
  </si>
  <si>
    <r>
      <rPr>
        <b/>
        <sz val="11"/>
        <rFont val="Century Gothic"/>
        <family val="2"/>
      </rPr>
      <t>Consolidado por:</t>
    </r>
    <r>
      <rPr>
        <sz val="11"/>
        <rFont val="Century Gothic"/>
        <family val="2"/>
      </rPr>
      <t xml:space="preserve">  Equipo HSE CNX</t>
    </r>
  </si>
  <si>
    <t>INDICADOR</t>
  </si>
  <si>
    <t>INDICE</t>
  </si>
  <si>
    <t>ART</t>
  </si>
  <si>
    <t>OPAS</t>
  </si>
  <si>
    <t>IDPS</t>
  </si>
  <si>
    <t>IDS</t>
  </si>
  <si>
    <t>IENTS</t>
  </si>
  <si>
    <t xml:space="preserve">OSEA </t>
  </si>
  <si>
    <t>CAI</t>
  </si>
  <si>
    <t>I G</t>
  </si>
  <si>
    <t>*</t>
  </si>
  <si>
    <t>IE</t>
  </si>
  <si>
    <r>
      <rPr>
        <b/>
        <sz val="11"/>
        <rFont val="Century Gothic"/>
        <family val="2"/>
      </rPr>
      <t xml:space="preserve">Periodo: </t>
    </r>
    <r>
      <rPr>
        <sz val="11"/>
        <rFont val="Century Gothic"/>
        <family val="2"/>
      </rPr>
      <t>2026</t>
    </r>
  </si>
  <si>
    <t>INDICADORES DE GESTIÓN HSE 2026</t>
  </si>
  <si>
    <r>
      <rPr>
        <b/>
        <sz val="11"/>
        <rFont val="Century Gothic"/>
        <family val="2"/>
      </rPr>
      <t>Fecha de actualización:</t>
    </r>
    <r>
      <rPr>
        <sz val="11"/>
        <rFont val="Century Gothic"/>
        <family val="2"/>
      </rPr>
      <t xml:space="preserve">  01/10/2026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</si>
</sst>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18"/>
      <name val="Arial"/>
      <family val="2"/>
    </font>
    <font>
      <b/>
      <sz val="16"/>
      <color indexed="16"/>
      <name val="Arial"/>
      <family val="2"/>
    </font>
    <font>
      <b/>
      <sz val="14"/>
      <color indexed="16"/>
      <name val="Arial"/>
      <family val="2"/>
    </font>
    <font>
      <sz val="10"/>
      <name val="Arial"/>
      <family val="2"/>
    </font>
    <font>
      <sz val="11"/>
      <name val="Century Gothic"/>
      <family val="2"/>
    </font>
    <font>
      <b/>
      <sz val="11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1"/>
      <color theme="1"/>
      <name val="Century Gothic"/>
      <family val="2"/>
    </font>
    <font>
      <b/>
      <sz val="14"/>
      <color indexed="16"/>
      <name val="Century Gothic"/>
      <family val="2"/>
    </font>
    <font>
      <b/>
      <sz val="10"/>
      <color indexed="18"/>
      <name val="Century Gothic"/>
      <family val="2"/>
    </font>
    <font>
      <b/>
      <sz val="10"/>
      <color indexed="9"/>
      <name val="Century Gothic"/>
      <family val="2"/>
    </font>
    <font>
      <b/>
      <sz val="10"/>
      <name val="Century Gothic"/>
      <family val="2"/>
    </font>
    <font>
      <b/>
      <sz val="16"/>
      <name val="Century Gothic"/>
      <family val="2"/>
    </font>
    <font>
      <b/>
      <sz val="16"/>
      <color indexed="16"/>
      <name val="Century Gothic"/>
      <family val="2"/>
    </font>
    <font>
      <b/>
      <sz val="10"/>
      <color theme="0"/>
      <name val="Century Gothic"/>
      <family val="2"/>
    </font>
    <font>
      <b/>
      <sz val="11"/>
      <name val="Arial"/>
      <family val="2"/>
    </font>
    <font>
      <b/>
      <sz val="11"/>
      <color rgb="FF0070C0"/>
      <name val="Century Gothic"/>
      <family val="2"/>
    </font>
    <font>
      <sz val="10"/>
      <name val="Arial"/>
      <family val="2"/>
    </font>
    <font>
      <b/>
      <sz val="14"/>
      <color theme="0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9" fontId="21" fillId="0" borderId="0" applyFont="0" applyFill="0" applyBorder="0" applyAlignment="0" applyProtection="0"/>
  </cellStyleXfs>
  <cellXfs count="135">
    <xf numFmtId="0" fontId="0" fillId="0" borderId="0" xfId="0"/>
    <xf numFmtId="17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2" xfId="0" applyFont="1" applyBorder="1"/>
    <xf numFmtId="0" fontId="3" fillId="0" borderId="2" xfId="0" applyFont="1" applyBorder="1"/>
    <xf numFmtId="17" fontId="2" fillId="2" borderId="7" xfId="0" applyNumberFormat="1" applyFont="1" applyFill="1" applyBorder="1" applyAlignment="1">
      <alignment horizontal="center" vertical="center"/>
    </xf>
    <xf numFmtId="17" fontId="2" fillId="2" borderId="8" xfId="0" applyNumberFormat="1" applyFont="1" applyFill="1" applyBorder="1" applyAlignment="1">
      <alignment horizontal="center" vertical="center"/>
    </xf>
    <xf numFmtId="0" fontId="5" fillId="0" borderId="2" xfId="0" applyFont="1" applyBorder="1"/>
    <xf numFmtId="0" fontId="1" fillId="5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4" borderId="0" xfId="0" applyNumberFormat="1" applyFill="1"/>
    <xf numFmtId="0" fontId="0" fillId="4" borderId="0" xfId="0" applyFill="1"/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9" fillId="0" borderId="0" xfId="0" applyFont="1"/>
    <xf numFmtId="0" fontId="9" fillId="0" borderId="2" xfId="0" applyFont="1" applyBorder="1"/>
    <xf numFmtId="0" fontId="9" fillId="0" borderId="3" xfId="0" applyFont="1" applyBorder="1"/>
    <xf numFmtId="0" fontId="12" fillId="0" borderId="2" xfId="0" applyFont="1" applyBorder="1"/>
    <xf numFmtId="0" fontId="13" fillId="0" borderId="2" xfId="0" applyFont="1" applyBorder="1"/>
    <xf numFmtId="17" fontId="14" fillId="2" borderId="1" xfId="0" applyNumberFormat="1" applyFont="1" applyFill="1" applyBorder="1" applyAlignment="1">
      <alignment horizontal="center" vertical="center"/>
    </xf>
    <xf numFmtId="17" fontId="14" fillId="2" borderId="7" xfId="0" applyNumberFormat="1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" fontId="14" fillId="2" borderId="8" xfId="0" applyNumberFormat="1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2" fontId="9" fillId="0" borderId="0" xfId="0" applyNumberFormat="1" applyFont="1"/>
    <xf numFmtId="0" fontId="9" fillId="0" borderId="4" xfId="0" applyFont="1" applyBorder="1"/>
    <xf numFmtId="0" fontId="9" fillId="0" borderId="5" xfId="0" applyFont="1" applyBorder="1"/>
    <xf numFmtId="0" fontId="9" fillId="0" borderId="6" xfId="0" applyFont="1" applyBorder="1"/>
    <xf numFmtId="0" fontId="9" fillId="0" borderId="13" xfId="0" applyFont="1" applyBorder="1"/>
    <xf numFmtId="0" fontId="9" fillId="0" borderId="14" xfId="0" applyFont="1" applyBorder="1"/>
    <xf numFmtId="0" fontId="15" fillId="5" borderId="15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7" fillId="0" borderId="3" xfId="0" applyFont="1" applyBorder="1" applyAlignment="1">
      <alignment horizontal="left"/>
    </xf>
    <xf numFmtId="0" fontId="15" fillId="0" borderId="2" xfId="0" applyFont="1" applyBorder="1"/>
    <xf numFmtId="0" fontId="17" fillId="0" borderId="2" xfId="0" applyFont="1" applyBorder="1"/>
    <xf numFmtId="0" fontId="15" fillId="0" borderId="0" xfId="0" applyFont="1" applyAlignment="1">
      <alignment horizontal="right"/>
    </xf>
    <xf numFmtId="0" fontId="9" fillId="0" borderId="12" xfId="0" applyFont="1" applyBorder="1"/>
    <xf numFmtId="2" fontId="9" fillId="3" borderId="7" xfId="0" applyNumberFormat="1" applyFont="1" applyFill="1" applyBorder="1" applyAlignment="1">
      <alignment horizontal="center" vertical="center"/>
    </xf>
    <xf numFmtId="0" fontId="0" fillId="0" borderId="12" xfId="0" applyBorder="1"/>
    <xf numFmtId="0" fontId="19" fillId="0" borderId="14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9" fillId="0" borderId="0" xfId="0" applyFont="1" applyAlignment="1">
      <alignment horizontal="center"/>
    </xf>
    <xf numFmtId="17" fontId="14" fillId="2" borderId="24" xfId="0" applyNumberFormat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5" fillId="5" borderId="26" xfId="0" applyFont="1" applyFill="1" applyBorder="1" applyAlignment="1">
      <alignment horizontal="center" vertical="center"/>
    </xf>
    <xf numFmtId="0" fontId="15" fillId="5" borderId="27" xfId="0" applyFont="1" applyFill="1" applyBorder="1" applyAlignment="1">
      <alignment horizontal="center" vertical="center"/>
    </xf>
    <xf numFmtId="17" fontId="14" fillId="2" borderId="25" xfId="0" applyNumberFormat="1" applyFont="1" applyFill="1" applyBorder="1" applyAlignment="1">
      <alignment horizontal="center" vertical="center"/>
    </xf>
    <xf numFmtId="17" fontId="14" fillId="2" borderId="28" xfId="0" applyNumberFormat="1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5" fillId="5" borderId="8" xfId="0" applyFont="1" applyFill="1" applyBorder="1" applyAlignment="1">
      <alignment horizontal="left" vertical="center"/>
    </xf>
    <xf numFmtId="0" fontId="15" fillId="5" borderId="8" xfId="0" applyFont="1" applyFill="1" applyBorder="1" applyAlignment="1">
      <alignment horizontal="left" vertical="center" wrapText="1"/>
    </xf>
    <xf numFmtId="0" fontId="18" fillId="8" borderId="31" xfId="0" applyFont="1" applyFill="1" applyBorder="1" applyAlignment="1">
      <alignment horizontal="center" vertical="center"/>
    </xf>
    <xf numFmtId="17" fontId="14" fillId="2" borderId="12" xfId="0" applyNumberFormat="1" applyFont="1" applyFill="1" applyBorder="1" applyAlignment="1">
      <alignment horizontal="center" vertical="center"/>
    </xf>
    <xf numFmtId="17" fontId="14" fillId="2" borderId="13" xfId="0" applyNumberFormat="1" applyFont="1" applyFill="1" applyBorder="1" applyAlignment="1">
      <alignment horizontal="center" vertical="center"/>
    </xf>
    <xf numFmtId="17" fontId="14" fillId="2" borderId="14" xfId="0" applyNumberFormat="1" applyFont="1" applyFill="1" applyBorder="1" applyAlignment="1">
      <alignment horizontal="center" vertical="center"/>
    </xf>
    <xf numFmtId="17" fontId="11" fillId="7" borderId="31" xfId="0" applyNumberFormat="1" applyFont="1" applyFill="1" applyBorder="1" applyAlignment="1">
      <alignment horizontal="center" vertical="center"/>
    </xf>
    <xf numFmtId="2" fontId="9" fillId="3" borderId="16" xfId="0" applyNumberFormat="1" applyFont="1" applyFill="1" applyBorder="1" applyAlignment="1">
      <alignment horizontal="center" vertical="center"/>
    </xf>
    <xf numFmtId="0" fontId="15" fillId="5" borderId="24" xfId="0" applyFont="1" applyFill="1" applyBorder="1" applyAlignment="1">
      <alignment horizontal="center" vertical="center"/>
    </xf>
    <xf numFmtId="2" fontId="9" fillId="3" borderId="25" xfId="0" applyNumberFormat="1" applyFont="1" applyFill="1" applyBorder="1" applyAlignment="1">
      <alignment horizontal="center" vertical="center"/>
    </xf>
    <xf numFmtId="17" fontId="14" fillId="2" borderId="32" xfId="0" applyNumberFormat="1" applyFont="1" applyFill="1" applyBorder="1" applyAlignment="1">
      <alignment horizontal="center" vertical="center"/>
    </xf>
    <xf numFmtId="2" fontId="9" fillId="3" borderId="33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8" fillId="6" borderId="11" xfId="0" applyFont="1" applyFill="1" applyBorder="1" applyAlignment="1">
      <alignment horizontal="center"/>
    </xf>
    <xf numFmtId="2" fontId="20" fillId="3" borderId="17" xfId="0" applyNumberFormat="1" applyFont="1" applyFill="1" applyBorder="1" applyAlignment="1">
      <alignment horizontal="center" vertical="center"/>
    </xf>
    <xf numFmtId="2" fontId="20" fillId="3" borderId="7" xfId="0" applyNumberFormat="1" applyFont="1" applyFill="1" applyBorder="1" applyAlignment="1">
      <alignment horizontal="center" vertical="center"/>
    </xf>
    <xf numFmtId="2" fontId="20" fillId="3" borderId="28" xfId="0" applyNumberFormat="1" applyFont="1" applyFill="1" applyBorder="1" applyAlignment="1">
      <alignment horizontal="center" vertical="center"/>
    </xf>
    <xf numFmtId="10" fontId="22" fillId="9" borderId="34" xfId="2" applyNumberFormat="1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6" fillId="0" borderId="0" xfId="0" applyFont="1"/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16" fillId="0" borderId="12" xfId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center" vertical="center" wrapText="1"/>
    </xf>
    <xf numFmtId="0" fontId="16" fillId="0" borderId="1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/>
    </xf>
    <xf numFmtId="0" fontId="9" fillId="0" borderId="13" xfId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5" xfId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15" fillId="0" borderId="9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7" fillId="0" borderId="3" xfId="0" applyFont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Porcentaje" xfId="2" builtinId="5"/>
  </cellStyles>
  <dxfs count="30"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3CA79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C"/>
              <a:t>Indice ART</a:t>
            </a:r>
          </a:p>
        </c:rich>
      </c:tx>
      <c:layout>
        <c:manualLayout>
          <c:xMode val="edge"/>
          <c:yMode val="edge"/>
          <c:x val="0.41215608184112118"/>
          <c:y val="2.76562020656508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074142771158646E-2"/>
          <c:y val="0.18340637424714326"/>
          <c:w val="0.87274534880377985"/>
          <c:h val="0.66521200818209869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ART!$B$11:$M$11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ART!$B$15:$M$15</c:f>
              <c:numCache>
                <c:formatCode>0.00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4-4C21-A356-0E19965B1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44352"/>
        <c:axId val="126246272"/>
      </c:lineChart>
      <c:catAx>
        <c:axId val="12624435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C"/>
          </a:p>
        </c:txPr>
        <c:crossAx val="12624627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26246272"/>
        <c:scaling>
          <c:orientation val="minMax"/>
          <c:max val="1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C"/>
          </a:p>
        </c:txPr>
        <c:crossAx val="126244352"/>
        <c:crosses val="autoZero"/>
        <c:crossBetween val="between"/>
        <c:majorUnit val="2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C"/>
    </a:p>
  </c:txPr>
  <c:printSettings>
    <c:headerFooter alignWithMargins="0"/>
    <c:pageMargins b="1" l="0.75000000000000033" r="0.75000000000000033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C"/>
              <a:t>Indice OPAS</a:t>
            </a:r>
          </a:p>
        </c:rich>
      </c:tx>
      <c:layout>
        <c:manualLayout>
          <c:xMode val="edge"/>
          <c:yMode val="edge"/>
          <c:x val="0.40392205110390628"/>
          <c:y val="2.72000259226856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509875258382402E-2"/>
          <c:y val="0.18880014750011531"/>
          <c:w val="0.87156946190397322"/>
          <c:h val="0.6576005137504018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OPAS!$B$10:$M$10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OPAS!$B$16:$M$16</c:f>
              <c:numCache>
                <c:formatCode>0.00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25-4BDB-9CF6-13EB7DA06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35040"/>
        <c:axId val="120157696"/>
      </c:lineChart>
      <c:catAx>
        <c:axId val="1201350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ea typeface="Arial"/>
                <a:cs typeface="Arial"/>
              </a:defRPr>
            </a:pPr>
            <a:endParaRPr lang="es-EC"/>
          </a:p>
        </c:txPr>
        <c:crossAx val="120157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0157696"/>
        <c:scaling>
          <c:orientation val="minMax"/>
          <c:max val="1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C"/>
          </a:p>
        </c:txPr>
        <c:crossAx val="120135040"/>
        <c:crosses val="autoZero"/>
        <c:crossBetween val="between"/>
        <c:majorUnit val="2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C"/>
    </a:p>
  </c:txPr>
  <c:printSettings>
    <c:headerFooter alignWithMargins="0"/>
    <c:pageMargins b="1" l="0.75000000000000033" r="0.75000000000000033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C"/>
              <a:t>Indice DPS (IDPS)</a:t>
            </a:r>
          </a:p>
        </c:rich>
      </c:tx>
      <c:layout>
        <c:manualLayout>
          <c:xMode val="edge"/>
          <c:yMode val="edge"/>
          <c:x val="0.4095800774665298"/>
          <c:y val="2.825731689199227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291371016781085E-2"/>
          <c:y val="0.18524347009562517"/>
          <c:w val="0.87194609140748314"/>
          <c:h val="0.6640507444953337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IDPS!$B$9:$M$9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IDPS!$B$15:$M$15</c:f>
              <c:numCache>
                <c:formatCode>0.00</c:formatCode>
                <c:ptCount val="12"/>
                <c:pt idx="0">
                  <c:v>93.684210526315795</c:v>
                </c:pt>
                <c:pt idx="1">
                  <c:v>94.736842105263165</c:v>
                </c:pt>
                <c:pt idx="2">
                  <c:v>92.631578947368425</c:v>
                </c:pt>
                <c:pt idx="3">
                  <c:v>82.10526315789474</c:v>
                </c:pt>
                <c:pt idx="4">
                  <c:v>84.21052631578948</c:v>
                </c:pt>
                <c:pt idx="5">
                  <c:v>85.263157894736835</c:v>
                </c:pt>
                <c:pt idx="6">
                  <c:v>94.736842105263165</c:v>
                </c:pt>
                <c:pt idx="7">
                  <c:v>94.736842105263165</c:v>
                </c:pt>
                <c:pt idx="8">
                  <c:v>96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BD-4B62-9C00-1665A99D1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78112"/>
        <c:axId val="125980032"/>
      </c:lineChart>
      <c:catAx>
        <c:axId val="125978112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C"/>
          </a:p>
        </c:txPr>
        <c:crossAx val="12598003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5980032"/>
        <c:scaling>
          <c:orientation val="minMax"/>
          <c:max val="1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C"/>
          </a:p>
        </c:txPr>
        <c:crossAx val="125978112"/>
        <c:crosses val="autoZero"/>
        <c:crossBetween val="between"/>
        <c:majorUnit val="2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C"/>
    </a:p>
  </c:txPr>
  <c:printSettings>
    <c:headerFooter alignWithMargins="0"/>
    <c:pageMargins b="1" l="0.75000000000000033" r="0.75000000000000033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C"/>
              <a:t>Indice DS  (IDS)</a:t>
            </a:r>
          </a:p>
        </c:rich>
      </c:tx>
      <c:layout>
        <c:manualLayout>
          <c:xMode val="edge"/>
          <c:yMode val="edge"/>
          <c:x val="0.42178224596925418"/>
          <c:y val="2.75364173228346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5247524752475273E-2"/>
          <c:y val="0.16811617996515507"/>
          <c:w val="0.87227722772277261"/>
          <c:h val="0.6927546036495191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FF66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IDS!$B$10:$M$10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IDS!$B$14:$M$14</c:f>
              <c:numCache>
                <c:formatCode>0.00</c:formatCode>
                <c:ptCount val="12"/>
                <c:pt idx="0">
                  <c:v>87.5</c:v>
                </c:pt>
                <c:pt idx="1">
                  <c:v>100</c:v>
                </c:pt>
                <c:pt idx="2">
                  <c:v>100</c:v>
                </c:pt>
                <c:pt idx="3">
                  <c:v>83.333333333333343</c:v>
                </c:pt>
                <c:pt idx="4">
                  <c:v>85.714285714285708</c:v>
                </c:pt>
                <c:pt idx="5">
                  <c:v>83.333333333333343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6-451F-A8D6-9BCF21FCC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06240"/>
        <c:axId val="120516608"/>
      </c:lineChart>
      <c:catAx>
        <c:axId val="12050624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C"/>
          </a:p>
        </c:txPr>
        <c:crossAx val="120516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0516608"/>
        <c:scaling>
          <c:orientation val="minMax"/>
          <c:max val="1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C"/>
          </a:p>
        </c:txPr>
        <c:crossAx val="120506240"/>
        <c:crosses val="autoZero"/>
        <c:crossBetween val="between"/>
        <c:majorUnit val="2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C"/>
    </a:p>
  </c:txPr>
  <c:printSettings>
    <c:headerFooter alignWithMargins="0"/>
    <c:pageMargins b="1" l="0.75000000000000033" r="0.75000000000000033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C"/>
              <a:t>Indice ENT</a:t>
            </a:r>
          </a:p>
        </c:rich>
      </c:tx>
      <c:layout>
        <c:manualLayout>
          <c:xMode val="edge"/>
          <c:yMode val="edge"/>
          <c:x val="0.41210413615425157"/>
          <c:y val="2.79068449777111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400874641316591E-2"/>
          <c:y val="0.18604679380904501"/>
          <c:w val="0.8722390507165686"/>
          <c:h val="0.65271416653671077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IENTS!$B$10:$M$10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IENTS!$B$14:$M$14</c:f>
              <c:numCache>
                <c:formatCode>0.00</c:formatCode>
                <c:ptCount val="12"/>
                <c:pt idx="0">
                  <c:v>100</c:v>
                </c:pt>
                <c:pt idx="1">
                  <c:v>96.666666666666671</c:v>
                </c:pt>
                <c:pt idx="2">
                  <c:v>84</c:v>
                </c:pt>
                <c:pt idx="3">
                  <c:v>95</c:v>
                </c:pt>
                <c:pt idx="4">
                  <c:v>97.5</c:v>
                </c:pt>
                <c:pt idx="5">
                  <c:v>95</c:v>
                </c:pt>
                <c:pt idx="6">
                  <c:v>92.857142857142861</c:v>
                </c:pt>
                <c:pt idx="7">
                  <c:v>95.714285714285708</c:v>
                </c:pt>
                <c:pt idx="8">
                  <c:v>92.307692307692307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EE-4BB6-AC07-65B18A7CD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78624"/>
        <c:axId val="119580544"/>
      </c:lineChart>
      <c:catAx>
        <c:axId val="11957862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C"/>
          </a:p>
        </c:txPr>
        <c:crossAx val="1195805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9580544"/>
        <c:scaling>
          <c:orientation val="minMax"/>
          <c:max val="1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C"/>
          </a:p>
        </c:txPr>
        <c:crossAx val="119578624"/>
        <c:crosses val="autoZero"/>
        <c:crossBetween val="between"/>
        <c:majorUnit val="2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C"/>
    </a:p>
  </c:txPr>
  <c:printSettings>
    <c:headerFooter alignWithMargins="0"/>
    <c:pageMargins b="1" l="0.75000000000000033" r="0.75000000000000033" t="1" header="0" footer="0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C"/>
              <a:t>Indice OSEA</a:t>
            </a:r>
          </a:p>
        </c:rich>
      </c:tx>
      <c:layout>
        <c:manualLayout>
          <c:xMode val="edge"/>
          <c:yMode val="edge"/>
          <c:x val="0.40098548725211797"/>
          <c:y val="2.76965707155458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876883311308595E-2"/>
          <c:y val="0.16909620991253643"/>
          <c:w val="0.87093637956837877"/>
          <c:h val="0.6909620991253641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OSEA!$B$10:$M$10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OSEA!$B$14:$M$14</c:f>
              <c:numCache>
                <c:formatCode>0.00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D5-4D60-B667-45AF3BE8F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157184"/>
        <c:axId val="126279040"/>
      </c:lineChart>
      <c:catAx>
        <c:axId val="12615718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C"/>
          </a:p>
        </c:txPr>
        <c:crossAx val="1262790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6279040"/>
        <c:scaling>
          <c:orientation val="minMax"/>
          <c:max val="1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C"/>
          </a:p>
        </c:txPr>
        <c:crossAx val="126157184"/>
        <c:crosses val="autoZero"/>
        <c:crossBetween val="between"/>
        <c:majorUnit val="2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C"/>
    </a:p>
  </c:txPr>
  <c:printSettings>
    <c:headerFooter alignWithMargins="0"/>
    <c:pageMargins b="1" l="0.75000000000000033" r="0.75000000000000033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Indice CAI</a:t>
            </a:r>
          </a:p>
        </c:rich>
      </c:tx>
      <c:layout>
        <c:manualLayout>
          <c:xMode val="edge"/>
          <c:yMode val="edge"/>
          <c:x val="0.41762485435381763"/>
          <c:y val="2.76967265884217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47127135647839E-2"/>
          <c:y val="0.17784256559766776"/>
          <c:w val="0.87260618022459124"/>
          <c:h val="0.67055393586005829"/>
        </c:manualLayout>
      </c:layout>
      <c:lineChart>
        <c:grouping val="standard"/>
        <c:varyColors val="0"/>
        <c:ser>
          <c:idx val="0"/>
          <c:order val="0"/>
          <c:marker>
            <c:spPr>
              <a:solidFill>
                <a:srgbClr val="FF0000"/>
              </a:solidFill>
            </c:spPr>
          </c:marker>
          <c:cat>
            <c:strRef>
              <c:f>ICAI!$B$10:$M$10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ICAI!$B$13:$M$13</c:f>
              <c:numCache>
                <c:formatCode>0.00</c:formatCode>
                <c:ptCount val="12"/>
                <c:pt idx="0">
                  <c:v>100</c:v>
                </c:pt>
                <c:pt idx="1">
                  <c:v>83.333333333333329</c:v>
                </c:pt>
                <c:pt idx="2">
                  <c:v>100</c:v>
                </c:pt>
                <c:pt idx="3">
                  <c:v>88.888888888888886</c:v>
                </c:pt>
                <c:pt idx="4">
                  <c:v>100</c:v>
                </c:pt>
                <c:pt idx="5">
                  <c:v>87.5</c:v>
                </c:pt>
                <c:pt idx="6">
                  <c:v>83.333333333333329</c:v>
                </c:pt>
                <c:pt idx="7">
                  <c:v>85.714285714285708</c:v>
                </c:pt>
                <c:pt idx="8">
                  <c:v>83.333333333333329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96-4AA3-9E32-596EA87A5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988224"/>
        <c:axId val="126010880"/>
      </c:lineChart>
      <c:catAx>
        <c:axId val="125988224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C"/>
          </a:p>
        </c:txPr>
        <c:crossAx val="1260108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6010880"/>
        <c:scaling>
          <c:orientation val="minMax"/>
          <c:max val="11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EC"/>
          </a:p>
        </c:txPr>
        <c:crossAx val="125988224"/>
        <c:crosses val="autoZero"/>
        <c:crossBetween val="between"/>
        <c:majorUnit val="25"/>
      </c:valAx>
      <c:spPr>
        <a:solidFill>
          <a:schemeClr val="bg1">
            <a:lumMod val="85000"/>
          </a:schemeClr>
        </a:solidFill>
      </c:spPr>
    </c:plotArea>
    <c:plotVisOnly val="1"/>
    <c:dispBlanksAs val="gap"/>
    <c:showDLblsOverMax val="0"/>
  </c:chart>
  <c:printSettings>
    <c:headerFooter alignWithMargins="0"/>
    <c:pageMargins b="1" l="0.75000000000000033" r="0.75000000000000033" t="1" header="0" footer="0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C"/>
              <a:t>Control de Índice Gestión</a:t>
            </a:r>
            <a:r>
              <a:rPr lang="es-EC" baseline="0"/>
              <a:t> de HSE (IG)</a:t>
            </a:r>
            <a:endParaRPr lang="es-EC"/>
          </a:p>
        </c:rich>
      </c:tx>
      <c:layout>
        <c:manualLayout>
          <c:xMode val="edge"/>
          <c:yMode val="edge"/>
          <c:x val="0.25259809815431522"/>
          <c:y val="4.19930264288240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47625391037129E-2"/>
          <c:y val="0.2144329896907218"/>
          <c:w val="0.90579784864507651"/>
          <c:h val="0.6577319587628870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200" b="1">
                      <a:solidFill>
                        <a:srgbClr val="002060"/>
                      </a:solidFill>
                      <a:latin typeface="Century Gothic" panose="020B0502020202020204" pitchFamily="34" charset="0"/>
                    </a:defRPr>
                  </a:pPr>
                  <a:endParaRPr lang="es-EC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197-4503-B1BA-0E4C01922529}"/>
                </c:ext>
              </c:extLst>
            </c:dLbl>
            <c:dLbl>
              <c:idx val="11"/>
              <c:layout>
                <c:manualLayout>
                  <c:x val="-3.0892624654259671E-2"/>
                  <c:y val="-7.50852528660122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8C-454D-B00B-494C4E3D4B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>
                    <a:solidFill>
                      <a:schemeClr val="tx1"/>
                    </a:solidFill>
                    <a:latin typeface="Century Gothic" panose="020B0502020202020204" pitchFamily="34" charset="0"/>
                  </a:defRPr>
                </a:pPr>
                <a:endParaRPr lang="es-EC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'INDICE DE GESTIÓN (IG)'!$D$10:$O$10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'INDICE DE GESTIÓN (IG)'!$D$19:$O$19</c:f>
              <c:numCache>
                <c:formatCode>0.00</c:formatCode>
                <c:ptCount val="12"/>
                <c:pt idx="0">
                  <c:v>97.721291866028707</c:v>
                </c:pt>
                <c:pt idx="1">
                  <c:v>96.339712918660283</c:v>
                </c:pt>
                <c:pt idx="2">
                  <c:v>98.602870813397118</c:v>
                </c:pt>
                <c:pt idx="3">
                  <c:v>93.853003721424784</c:v>
                </c:pt>
                <c:pt idx="4">
                  <c:v>96.502904989747094</c:v>
                </c:pt>
                <c:pt idx="5">
                  <c:v>93.887559808612437</c:v>
                </c:pt>
                <c:pt idx="6">
                  <c:v>96.166552745500113</c:v>
                </c:pt>
                <c:pt idx="7">
                  <c:v>96.729323308270665</c:v>
                </c:pt>
                <c:pt idx="8">
                  <c:v>96.256410256410248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A-4D5A-A861-63367DB2B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420416"/>
        <c:axId val="117422336"/>
      </c:lineChart>
      <c:catAx>
        <c:axId val="11742041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70C0"/>
                </a:solidFill>
                <a:latin typeface="Arial"/>
                <a:ea typeface="Arial"/>
                <a:cs typeface="Arial"/>
              </a:defRPr>
            </a:pPr>
            <a:endParaRPr lang="es-EC"/>
          </a:p>
        </c:txPr>
        <c:crossAx val="117422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7422336"/>
        <c:scaling>
          <c:orientation val="minMax"/>
          <c:max val="1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B050"/>
                </a:solidFill>
                <a:latin typeface="Century Gothic" panose="020B0502020202020204" pitchFamily="34" charset="0"/>
                <a:ea typeface="Arial"/>
                <a:cs typeface="Arial"/>
              </a:defRPr>
            </a:pPr>
            <a:endParaRPr lang="es-EC"/>
          </a:p>
        </c:txPr>
        <c:crossAx val="117420416"/>
        <c:crosses val="autoZero"/>
        <c:crossBetween val="between"/>
        <c:majorUnit val="25"/>
      </c:valAx>
      <c:spPr>
        <a:solidFill>
          <a:schemeClr val="tx2">
            <a:lumMod val="20000"/>
            <a:lumOff val="80000"/>
          </a:schemeClr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C"/>
    </a:p>
  </c:txPr>
  <c:printSettings>
    <c:headerFooter alignWithMargins="0"/>
    <c:pageMargins b="1" l="0.75000000000000033" r="0.75000000000000033" t="1" header="0" footer="0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2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3.xm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4.xml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5.xml"/><Relationship Id="rId4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6.xml"/><Relationship Id="rId4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7.xml"/><Relationship Id="rId4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1.jpeg"/><Relationship Id="rId1" Type="http://schemas.openxmlformats.org/officeDocument/2006/relationships/chart" Target="../charts/chart8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19050</xdr:rowOff>
    </xdr:from>
    <xdr:to>
      <xdr:col>12</xdr:col>
      <xdr:colOff>695325</xdr:colOff>
      <xdr:row>34</xdr:row>
      <xdr:rowOff>38100</xdr:rowOff>
    </xdr:to>
    <xdr:graphicFrame macro="">
      <xdr:nvGraphicFramePr>
        <xdr:cNvPr id="2449" name="Chart 1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66675</xdr:colOff>
      <xdr:row>0</xdr:row>
      <xdr:rowOff>38100</xdr:rowOff>
    </xdr:from>
    <xdr:to>
      <xdr:col>1</xdr:col>
      <xdr:colOff>345283</xdr:colOff>
      <xdr:row>0</xdr:row>
      <xdr:rowOff>38100</xdr:rowOff>
    </xdr:to>
    <xdr:pic>
      <xdr:nvPicPr>
        <xdr:cNvPr id="2450" name="2 Imagen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42950" y="38100"/>
          <a:ext cx="22002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5" name="2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6" name="1 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8" name="2 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9" name="1 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1" name="2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2" name="1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0</xdr:row>
      <xdr:rowOff>133350</xdr:rowOff>
    </xdr:from>
    <xdr:to>
      <xdr:col>1</xdr:col>
      <xdr:colOff>649702</xdr:colOff>
      <xdr:row>2</xdr:row>
      <xdr:rowOff>113774</xdr:rowOff>
    </xdr:to>
    <xdr:pic>
      <xdr:nvPicPr>
        <xdr:cNvPr id="3" name="Imagen 2" descr="Imagen de la pantalla de un video juego&#10;&#10;El contenido generado por IA puede ser incorrecto.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133350"/>
          <a:ext cx="2392777" cy="4757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17</xdr:row>
      <xdr:rowOff>76200</xdr:rowOff>
    </xdr:from>
    <xdr:to>
      <xdr:col>12</xdr:col>
      <xdr:colOff>619125</xdr:colOff>
      <xdr:row>36</xdr:row>
      <xdr:rowOff>85725</xdr:rowOff>
    </xdr:to>
    <xdr:graphicFrame macro="">
      <xdr:nvGraphicFramePr>
        <xdr:cNvPr id="1527" name="Chart 1">
          <a:extLst>
            <a:ext uri="{FF2B5EF4-FFF2-40B4-BE49-F238E27FC236}">
              <a16:creationId xmlns:a16="http://schemas.microsoft.com/office/drawing/2014/main" id="{00000000-0008-0000-0100-0000F7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528" name="2 Imagen">
          <a:extLst>
            <a:ext uri="{FF2B5EF4-FFF2-40B4-BE49-F238E27FC236}">
              <a16:creationId xmlns:a16="http://schemas.microsoft.com/office/drawing/2014/main" id="{00000000-0008-0000-0100-0000F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05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529" name="1 Imagen">
          <a:extLst>
            <a:ext uri="{FF2B5EF4-FFF2-40B4-BE49-F238E27FC236}">
              <a16:creationId xmlns:a16="http://schemas.microsoft.com/office/drawing/2014/main" id="{00000000-0008-0000-0100-0000F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440907" y="638175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4" name="2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5" name="1 Imagen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7" name="2 Imagen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8" name="1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0</xdr:row>
      <xdr:rowOff>38100</xdr:rowOff>
    </xdr:from>
    <xdr:to>
      <xdr:col>1</xdr:col>
      <xdr:colOff>116683</xdr:colOff>
      <xdr:row>0</xdr:row>
      <xdr:rowOff>38100</xdr:rowOff>
    </xdr:to>
    <xdr:pic>
      <xdr:nvPicPr>
        <xdr:cNvPr id="9" name="2 Imagen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6675" y="38100"/>
          <a:ext cx="219313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0" name="2 Imagen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1" name="1 Imagen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2" name="2 Imagen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3" name="1 Imagen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4" name="2 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5" name="1 Imagen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0</xdr:row>
      <xdr:rowOff>38100</xdr:rowOff>
    </xdr:from>
    <xdr:to>
      <xdr:col>1</xdr:col>
      <xdr:colOff>116683</xdr:colOff>
      <xdr:row>0</xdr:row>
      <xdr:rowOff>38100</xdr:rowOff>
    </xdr:to>
    <xdr:pic>
      <xdr:nvPicPr>
        <xdr:cNvPr id="6" name="2 Imagen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6675" y="38100"/>
          <a:ext cx="219313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0</xdr:row>
      <xdr:rowOff>133350</xdr:rowOff>
    </xdr:from>
    <xdr:to>
      <xdr:col>1</xdr:col>
      <xdr:colOff>421102</xdr:colOff>
      <xdr:row>2</xdr:row>
      <xdr:rowOff>113774</xdr:rowOff>
    </xdr:to>
    <xdr:pic>
      <xdr:nvPicPr>
        <xdr:cNvPr id="17" name="Imagen 16" descr="Imagen de la pantalla de un video juego&#10;&#10;El contenido generado por IA puede ser incorrecto.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133350"/>
          <a:ext cx="2392777" cy="4757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154284</xdr:colOff>
      <xdr:row>15</xdr:row>
      <xdr:rowOff>79027</xdr:rowOff>
    </xdr:from>
    <xdr:to>
      <xdr:col>12</xdr:col>
      <xdr:colOff>544809</xdr:colOff>
      <xdr:row>34</xdr:row>
      <xdr:rowOff>36321</xdr:rowOff>
    </xdr:to>
    <xdr:graphicFrame macro="">
      <xdr:nvGraphicFramePr>
        <xdr:cNvPr id="4525" name="Chart 1">
          <a:extLst>
            <a:ext uri="{FF2B5EF4-FFF2-40B4-BE49-F238E27FC236}">
              <a16:creationId xmlns:a16="http://schemas.microsoft.com/office/drawing/2014/main" id="{00000000-0008-0000-0200-0000AD1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66675</xdr:colOff>
      <xdr:row>0</xdr:row>
      <xdr:rowOff>38100</xdr:rowOff>
    </xdr:from>
    <xdr:to>
      <xdr:col>2</xdr:col>
      <xdr:colOff>133350</xdr:colOff>
      <xdr:row>0</xdr:row>
      <xdr:rowOff>38100</xdr:rowOff>
    </xdr:to>
    <xdr:pic>
      <xdr:nvPicPr>
        <xdr:cNvPr id="4526" name="2 Imagen">
          <a:extLst>
            <a:ext uri="{FF2B5EF4-FFF2-40B4-BE49-F238E27FC236}">
              <a16:creationId xmlns:a16="http://schemas.microsoft.com/office/drawing/2014/main" id="{00000000-0008-0000-0200-0000A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47675" y="38100"/>
          <a:ext cx="2543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5" name="2 Image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6" name="1 Imagen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4" name="2 Imagen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8" name="1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9" name="2 Imagen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0" name="1 Imagen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1" name="2 Imagen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2" name="1 Imagen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3" name="2 Imagen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4" name="1 Imagen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5" name="2 Imagen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6" name="1 Imagen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7" name="2 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8" name="1 Imagen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0</xdr:row>
      <xdr:rowOff>38100</xdr:rowOff>
    </xdr:from>
    <xdr:to>
      <xdr:col>1</xdr:col>
      <xdr:colOff>497683</xdr:colOff>
      <xdr:row>0</xdr:row>
      <xdr:rowOff>38100</xdr:rowOff>
    </xdr:to>
    <xdr:pic>
      <xdr:nvPicPr>
        <xdr:cNvPr id="19" name="2 Imagen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6675" y="38100"/>
          <a:ext cx="219313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0" name="2 Imagen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21" name="1 Imagen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2" name="2 Imagen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23" name="1 Imagen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4" name="2 Imagen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25" name="1 Imagen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0</xdr:row>
      <xdr:rowOff>38100</xdr:rowOff>
    </xdr:from>
    <xdr:to>
      <xdr:col>1</xdr:col>
      <xdr:colOff>497683</xdr:colOff>
      <xdr:row>0</xdr:row>
      <xdr:rowOff>38100</xdr:rowOff>
    </xdr:to>
    <xdr:pic>
      <xdr:nvPicPr>
        <xdr:cNvPr id="7" name="2 Imagen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6675" y="38100"/>
          <a:ext cx="219313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0</xdr:row>
      <xdr:rowOff>133351</xdr:rowOff>
    </xdr:from>
    <xdr:to>
      <xdr:col>1</xdr:col>
      <xdr:colOff>596347</xdr:colOff>
      <xdr:row>2</xdr:row>
      <xdr:rowOff>73138</xdr:rowOff>
    </xdr:to>
    <xdr:pic>
      <xdr:nvPicPr>
        <xdr:cNvPr id="27" name="Imagen 26" descr="Imagen de la pantalla de un video juego&#10;&#10;El contenido generado por IA puede ser incorrecto.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133351"/>
          <a:ext cx="2189093" cy="4367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15</xdr:row>
      <xdr:rowOff>66675</xdr:rowOff>
    </xdr:from>
    <xdr:to>
      <xdr:col>12</xdr:col>
      <xdr:colOff>619125</xdr:colOff>
      <xdr:row>34</xdr:row>
      <xdr:rowOff>38100</xdr:rowOff>
    </xdr:to>
    <xdr:graphicFrame macro="">
      <xdr:nvGraphicFramePr>
        <xdr:cNvPr id="7611" name="Chart 1">
          <a:extLst>
            <a:ext uri="{FF2B5EF4-FFF2-40B4-BE49-F238E27FC236}">
              <a16:creationId xmlns:a16="http://schemas.microsoft.com/office/drawing/2014/main" id="{00000000-0008-0000-0300-0000BB1D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66675</xdr:colOff>
      <xdr:row>0</xdr:row>
      <xdr:rowOff>38100</xdr:rowOff>
    </xdr:from>
    <xdr:to>
      <xdr:col>2</xdr:col>
      <xdr:colOff>76200</xdr:colOff>
      <xdr:row>0</xdr:row>
      <xdr:rowOff>38100</xdr:rowOff>
    </xdr:to>
    <xdr:pic>
      <xdr:nvPicPr>
        <xdr:cNvPr id="7612" name="2 Imagen">
          <a:extLst>
            <a:ext uri="{FF2B5EF4-FFF2-40B4-BE49-F238E27FC236}">
              <a16:creationId xmlns:a16="http://schemas.microsoft.com/office/drawing/2014/main" id="{00000000-0008-0000-0300-0000B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09550" y="38100"/>
          <a:ext cx="30765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5" name="2 Imagen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6" name="1 Imagen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4" name="2 Imagen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8" name="1 Imagen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9" name="2 Imagen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0" name="1 Imagen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1" name="2 Imagen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2" name="1 Imagen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3" name="2 Imagen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4" name="1 Imagen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5" name="2 Imagen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6" name="1 Imagen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7" name="2 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8" name="1 Imagen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0" name="2 Imagen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21" name="1 Imagen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2" name="2 Imagen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23" name="1 Imagen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4" name="2 Imagen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25" name="1 Imagen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0</xdr:row>
      <xdr:rowOff>38100</xdr:rowOff>
    </xdr:from>
    <xdr:to>
      <xdr:col>0</xdr:col>
      <xdr:colOff>2259808</xdr:colOff>
      <xdr:row>0</xdr:row>
      <xdr:rowOff>38100</xdr:rowOff>
    </xdr:to>
    <xdr:pic>
      <xdr:nvPicPr>
        <xdr:cNvPr id="7" name="2 Imagen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6675" y="38100"/>
          <a:ext cx="219313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0</xdr:row>
      <xdr:rowOff>133350</xdr:rowOff>
    </xdr:from>
    <xdr:to>
      <xdr:col>1</xdr:col>
      <xdr:colOff>211552</xdr:colOff>
      <xdr:row>2</xdr:row>
      <xdr:rowOff>113774</xdr:rowOff>
    </xdr:to>
    <xdr:pic>
      <xdr:nvPicPr>
        <xdr:cNvPr id="27" name="Imagen 26" descr="Imagen de la pantalla de un video juego&#10;&#10;El contenido generado por IA puede ser incorrecto.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133350"/>
          <a:ext cx="2392777" cy="4757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15</xdr:row>
      <xdr:rowOff>47625</xdr:rowOff>
    </xdr:from>
    <xdr:to>
      <xdr:col>12</xdr:col>
      <xdr:colOff>485775</xdr:colOff>
      <xdr:row>33</xdr:row>
      <xdr:rowOff>133350</xdr:rowOff>
    </xdr:to>
    <xdr:graphicFrame macro="">
      <xdr:nvGraphicFramePr>
        <xdr:cNvPr id="8623" name="Chart 1">
          <a:extLst>
            <a:ext uri="{FF2B5EF4-FFF2-40B4-BE49-F238E27FC236}">
              <a16:creationId xmlns:a16="http://schemas.microsoft.com/office/drawing/2014/main" id="{00000000-0008-0000-0400-0000AF21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66675</xdr:colOff>
      <xdr:row>0</xdr:row>
      <xdr:rowOff>38100</xdr:rowOff>
    </xdr:from>
    <xdr:to>
      <xdr:col>2</xdr:col>
      <xdr:colOff>302420</xdr:colOff>
      <xdr:row>0</xdr:row>
      <xdr:rowOff>38100</xdr:rowOff>
    </xdr:to>
    <xdr:pic>
      <xdr:nvPicPr>
        <xdr:cNvPr id="8624" name="2 Imagen">
          <a:extLst>
            <a:ext uri="{FF2B5EF4-FFF2-40B4-BE49-F238E27FC236}">
              <a16:creationId xmlns:a16="http://schemas.microsoft.com/office/drawing/2014/main" id="{00000000-0008-0000-04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62025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8" name="2 Imagen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9" name="1 Imagen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4" name="2 Image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5" name="1 Imagen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6" name="2 Imagen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7" name="1 Imagen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1" name="2 Imagen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2" name="1 Imagen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3" name="2 Imagen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4" name="1 Imagen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5" name="2 Imagen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6" name="1 Imagen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7" name="2 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8" name="1 Imagen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0</xdr:row>
      <xdr:rowOff>38100</xdr:rowOff>
    </xdr:from>
    <xdr:to>
      <xdr:col>1</xdr:col>
      <xdr:colOff>107158</xdr:colOff>
      <xdr:row>0</xdr:row>
      <xdr:rowOff>38100</xdr:rowOff>
    </xdr:to>
    <xdr:pic>
      <xdr:nvPicPr>
        <xdr:cNvPr id="19" name="2 Imagen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6675" y="38100"/>
          <a:ext cx="219313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0" name="2 Imagen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21" name="1 Imagen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2" name="2 Imagen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23" name="1 Imagen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4" name="2 Imagen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25" name="1 Imagen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0</xdr:row>
      <xdr:rowOff>38100</xdr:rowOff>
    </xdr:from>
    <xdr:to>
      <xdr:col>1</xdr:col>
      <xdr:colOff>107158</xdr:colOff>
      <xdr:row>0</xdr:row>
      <xdr:rowOff>38100</xdr:rowOff>
    </xdr:to>
    <xdr:pic>
      <xdr:nvPicPr>
        <xdr:cNvPr id="10" name="2 Imagen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6675" y="38100"/>
          <a:ext cx="219313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0</xdr:row>
      <xdr:rowOff>133350</xdr:rowOff>
    </xdr:from>
    <xdr:to>
      <xdr:col>1</xdr:col>
      <xdr:colOff>411577</xdr:colOff>
      <xdr:row>2</xdr:row>
      <xdr:rowOff>113774</xdr:rowOff>
    </xdr:to>
    <xdr:pic>
      <xdr:nvPicPr>
        <xdr:cNvPr id="27" name="Imagen 26" descr="Imagen de la pantalla de un video juego&#10;&#10;El contenido generado por IA puede ser incorrecto.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133350"/>
          <a:ext cx="2392777" cy="475724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0.50099</cdr:x>
      <cdr:y>0.49459</cdr:y>
    </cdr:from>
    <cdr:to>
      <cdr:x>0.51238</cdr:x>
      <cdr:y>0.54676</cdr:y>
    </cdr:to>
    <cdr:sp macro="" textlink="">
      <cdr:nvSpPr>
        <cdr:cNvPr id="1024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75530" y="3046432"/>
          <a:ext cx="113043" cy="3210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45720" tIns="36576" rIns="45720" bIns="36576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C" sz="1975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15</xdr:row>
      <xdr:rowOff>38100</xdr:rowOff>
    </xdr:from>
    <xdr:to>
      <xdr:col>12</xdr:col>
      <xdr:colOff>571500</xdr:colOff>
      <xdr:row>33</xdr:row>
      <xdr:rowOff>28575</xdr:rowOff>
    </xdr:to>
    <xdr:graphicFrame macro="">
      <xdr:nvGraphicFramePr>
        <xdr:cNvPr id="3469" name="Chart 1">
          <a:extLst>
            <a:ext uri="{FF2B5EF4-FFF2-40B4-BE49-F238E27FC236}">
              <a16:creationId xmlns:a16="http://schemas.microsoft.com/office/drawing/2014/main" id="{00000000-0008-0000-0500-00008D0D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66675</xdr:colOff>
      <xdr:row>0</xdr:row>
      <xdr:rowOff>38100</xdr:rowOff>
    </xdr:from>
    <xdr:to>
      <xdr:col>2</xdr:col>
      <xdr:colOff>314325</xdr:colOff>
      <xdr:row>0</xdr:row>
      <xdr:rowOff>38100</xdr:rowOff>
    </xdr:to>
    <xdr:pic>
      <xdr:nvPicPr>
        <xdr:cNvPr id="3470" name="2 Imagen">
          <a:extLst>
            <a:ext uri="{FF2B5EF4-FFF2-40B4-BE49-F238E27FC236}">
              <a16:creationId xmlns:a16="http://schemas.microsoft.com/office/drawing/2014/main" id="{00000000-0008-0000-0500-00008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71475" y="38100"/>
          <a:ext cx="28860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5" name="2 Imagen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6" name="1 Imagen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4" name="2 Image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8" name="1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9" name="2 Imagen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0" name="1 Imagen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1" name="2 Imagen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2" name="1 Imagen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3" name="2 Imagen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4" name="1 Imagen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5" name="2 Imagen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6" name="1 Imagen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7" name="2 Imagen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8" name="1 Imagen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0</xdr:row>
      <xdr:rowOff>38100</xdr:rowOff>
    </xdr:from>
    <xdr:to>
      <xdr:col>1</xdr:col>
      <xdr:colOff>335758</xdr:colOff>
      <xdr:row>0</xdr:row>
      <xdr:rowOff>38100</xdr:rowOff>
    </xdr:to>
    <xdr:pic>
      <xdr:nvPicPr>
        <xdr:cNvPr id="19" name="2 Imagen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6675" y="38100"/>
          <a:ext cx="219313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0" name="2 Imagen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21" name="1 Imagen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2" name="2 Imagen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23" name="1 Imagen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4" name="2 Imagen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25" name="1 Imagen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0</xdr:row>
      <xdr:rowOff>38100</xdr:rowOff>
    </xdr:from>
    <xdr:to>
      <xdr:col>1</xdr:col>
      <xdr:colOff>335758</xdr:colOff>
      <xdr:row>0</xdr:row>
      <xdr:rowOff>38100</xdr:rowOff>
    </xdr:to>
    <xdr:pic>
      <xdr:nvPicPr>
        <xdr:cNvPr id="7" name="2 Imagen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6675" y="38100"/>
          <a:ext cx="219313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0</xdr:row>
      <xdr:rowOff>133350</xdr:rowOff>
    </xdr:from>
    <xdr:to>
      <xdr:col>1</xdr:col>
      <xdr:colOff>640177</xdr:colOff>
      <xdr:row>2</xdr:row>
      <xdr:rowOff>113774</xdr:rowOff>
    </xdr:to>
    <xdr:pic>
      <xdr:nvPicPr>
        <xdr:cNvPr id="27" name="Imagen 26" descr="Imagen de la pantalla de un video juego&#10;&#10;El contenido generado por IA puede ser incorrecto.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133350"/>
          <a:ext cx="2392777" cy="4757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111918</xdr:colOff>
      <xdr:row>13</xdr:row>
      <xdr:rowOff>104775</xdr:rowOff>
    </xdr:from>
    <xdr:to>
      <xdr:col>12</xdr:col>
      <xdr:colOff>521493</xdr:colOff>
      <xdr:row>32</xdr:row>
      <xdr:rowOff>57150</xdr:rowOff>
    </xdr:to>
    <xdr:graphicFrame macro="">
      <xdr:nvGraphicFramePr>
        <xdr:cNvPr id="6571" name="Chart 1">
          <a:extLst>
            <a:ext uri="{FF2B5EF4-FFF2-40B4-BE49-F238E27FC236}">
              <a16:creationId xmlns:a16="http://schemas.microsoft.com/office/drawing/2014/main" id="{00000000-0008-0000-0600-0000AB1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66675</xdr:colOff>
      <xdr:row>0</xdr:row>
      <xdr:rowOff>38100</xdr:rowOff>
    </xdr:from>
    <xdr:to>
      <xdr:col>1</xdr:col>
      <xdr:colOff>392906</xdr:colOff>
      <xdr:row>0</xdr:row>
      <xdr:rowOff>38100</xdr:rowOff>
    </xdr:to>
    <xdr:pic>
      <xdr:nvPicPr>
        <xdr:cNvPr id="6572" name="2 Imagen">
          <a:extLst>
            <a:ext uri="{FF2B5EF4-FFF2-40B4-BE49-F238E27FC236}">
              <a16:creationId xmlns:a16="http://schemas.microsoft.com/office/drawing/2014/main" id="{00000000-0008-0000-0600-0000A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28625" y="38100"/>
          <a:ext cx="30861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5" name="2 Imagen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6" name="1 Imagen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4" name="2 Imagen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8" name="1 Imagen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9" name="2 Imagen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812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0" name="1 Imagen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0932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1" name="2 Imagen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2" name="1 Imagen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3" name="2 Imagen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4" name="1 Imagen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5" name="2 Imagen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6" name="1 Imagen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17" name="2 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18" name="1 Imagen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0</xdr:row>
      <xdr:rowOff>38100</xdr:rowOff>
    </xdr:from>
    <xdr:to>
      <xdr:col>0</xdr:col>
      <xdr:colOff>2259808</xdr:colOff>
      <xdr:row>0</xdr:row>
      <xdr:rowOff>38100</xdr:rowOff>
    </xdr:to>
    <xdr:pic>
      <xdr:nvPicPr>
        <xdr:cNvPr id="19" name="2 Imagen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6675" y="38100"/>
          <a:ext cx="219313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0" name="2 Imagen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21" name="1 Imagen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2" name="2 Imagen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23" name="1 Imagen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66675</xdr:colOff>
      <xdr:row>0</xdr:row>
      <xdr:rowOff>38100</xdr:rowOff>
    </xdr:from>
    <xdr:to>
      <xdr:col>5</xdr:col>
      <xdr:colOff>314325</xdr:colOff>
      <xdr:row>0</xdr:row>
      <xdr:rowOff>38100</xdr:rowOff>
    </xdr:to>
    <xdr:pic>
      <xdr:nvPicPr>
        <xdr:cNvPr id="24" name="2 Imagen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209800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464344</xdr:colOff>
      <xdr:row>2</xdr:row>
      <xdr:rowOff>138112</xdr:rowOff>
    </xdr:from>
    <xdr:to>
      <xdr:col>7</xdr:col>
      <xdr:colOff>207169</xdr:colOff>
      <xdr:row>2</xdr:row>
      <xdr:rowOff>138112</xdr:rowOff>
    </xdr:to>
    <xdr:pic>
      <xdr:nvPicPr>
        <xdr:cNvPr id="25" name="1 Imagen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321844" y="633412"/>
          <a:ext cx="33147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66675</xdr:colOff>
      <xdr:row>0</xdr:row>
      <xdr:rowOff>38100</xdr:rowOff>
    </xdr:from>
    <xdr:to>
      <xdr:col>0</xdr:col>
      <xdr:colOff>2259808</xdr:colOff>
      <xdr:row>0</xdr:row>
      <xdr:rowOff>38100</xdr:rowOff>
    </xdr:to>
    <xdr:pic>
      <xdr:nvPicPr>
        <xdr:cNvPr id="7" name="2 Imagen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6675" y="38100"/>
          <a:ext cx="219313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171450</xdr:colOff>
      <xdr:row>0</xdr:row>
      <xdr:rowOff>133350</xdr:rowOff>
    </xdr:from>
    <xdr:to>
      <xdr:col>0</xdr:col>
      <xdr:colOff>2564227</xdr:colOff>
      <xdr:row>2</xdr:row>
      <xdr:rowOff>113774</xdr:rowOff>
    </xdr:to>
    <xdr:pic>
      <xdr:nvPicPr>
        <xdr:cNvPr id="27" name="Imagen 26" descr="Imagen de la pantalla de un video juego&#10;&#10;El contenido generado por IA puede ser incorrecto.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133350"/>
          <a:ext cx="2392777" cy="47572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96838</xdr:colOff>
      <xdr:row>21</xdr:row>
      <xdr:rowOff>79376</xdr:rowOff>
    </xdr:from>
    <xdr:to>
      <xdr:col>15</xdr:col>
      <xdr:colOff>682625</xdr:colOff>
      <xdr:row>37</xdr:row>
      <xdr:rowOff>100852</xdr:rowOff>
    </xdr:to>
    <xdr:graphicFrame macro="">
      <xdr:nvGraphicFramePr>
        <xdr:cNvPr id="9683" name="Chart 1">
          <a:extLst>
            <a:ext uri="{FF2B5EF4-FFF2-40B4-BE49-F238E27FC236}">
              <a16:creationId xmlns:a16="http://schemas.microsoft.com/office/drawing/2014/main" id="{00000000-0008-0000-0700-0000D32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66675</xdr:colOff>
      <xdr:row>1</xdr:row>
      <xdr:rowOff>38100</xdr:rowOff>
    </xdr:from>
    <xdr:to>
      <xdr:col>2</xdr:col>
      <xdr:colOff>1899306</xdr:colOff>
      <xdr:row>1</xdr:row>
      <xdr:rowOff>38100</xdr:rowOff>
    </xdr:to>
    <xdr:pic>
      <xdr:nvPicPr>
        <xdr:cNvPr id="9684" name="2 Imagen">
          <a:extLst>
            <a:ext uri="{FF2B5EF4-FFF2-40B4-BE49-F238E27FC236}">
              <a16:creationId xmlns:a16="http://schemas.microsoft.com/office/drawing/2014/main" id="{00000000-0008-0000-0700-0000D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09650" y="38100"/>
          <a:ext cx="18383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66675</xdr:colOff>
      <xdr:row>1</xdr:row>
      <xdr:rowOff>38100</xdr:rowOff>
    </xdr:from>
    <xdr:to>
      <xdr:col>4</xdr:col>
      <xdr:colOff>319398</xdr:colOff>
      <xdr:row>1</xdr:row>
      <xdr:rowOff>38100</xdr:rowOff>
    </xdr:to>
    <xdr:pic>
      <xdr:nvPicPr>
        <xdr:cNvPr id="12" name="2 Imagen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6675" y="38100"/>
          <a:ext cx="28860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66675</xdr:colOff>
      <xdr:row>1</xdr:row>
      <xdr:rowOff>38100</xdr:rowOff>
    </xdr:from>
    <xdr:to>
      <xdr:col>7</xdr:col>
      <xdr:colOff>314326</xdr:colOff>
      <xdr:row>1</xdr:row>
      <xdr:rowOff>38100</xdr:rowOff>
    </xdr:to>
    <xdr:pic>
      <xdr:nvPicPr>
        <xdr:cNvPr id="13" name="2 Imagen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990725" y="38100"/>
          <a:ext cx="31051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535780</xdr:colOff>
      <xdr:row>39</xdr:row>
      <xdr:rowOff>35717</xdr:rowOff>
    </xdr:from>
    <xdr:to>
      <xdr:col>13</xdr:col>
      <xdr:colOff>283678</xdr:colOff>
      <xdr:row>67</xdr:row>
      <xdr:rowOff>16063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66749" y="8155780"/>
          <a:ext cx="8810625" cy="5314346"/>
        </a:xfrm>
        <a:prstGeom prst="rect">
          <a:avLst/>
        </a:prstGeom>
      </xdr:spPr>
    </xdr:pic>
    <xdr:clientData/>
  </xdr:twoCellAnchor>
  <xdr:twoCellAnchor editAs="oneCell">
    <xdr:from>
      <xdr:col>2</xdr:col>
      <xdr:colOff>563306</xdr:colOff>
      <xdr:row>1</xdr:row>
      <xdr:rowOff>153628</xdr:rowOff>
    </xdr:from>
    <xdr:to>
      <xdr:col>4</xdr:col>
      <xdr:colOff>323905</xdr:colOff>
      <xdr:row>3</xdr:row>
      <xdr:rowOff>137739</xdr:rowOff>
    </xdr:to>
    <xdr:pic>
      <xdr:nvPicPr>
        <xdr:cNvPr id="3" name="Imagen 2" descr="Imagen de la pantalla de un video juego&#10;&#10;El contenido generado por IA puede ser incorrecto.">
          <a:extLst>
            <a:ext uri="{FF2B5EF4-FFF2-40B4-BE49-F238E27FC236}">
              <a16:creationId xmlns:a16="http://schemas.microsoft.com/office/drawing/2014/main" id="{D0F41919-1B1B-4F21-BF38-630742C51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209" y="358467"/>
          <a:ext cx="2392777" cy="475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5"/>
  <sheetViews>
    <sheetView showGridLines="0" zoomScale="80" zoomScaleNormal="80" workbookViewId="0">
      <pane ySplit="15" topLeftCell="A16" activePane="bottomLeft" state="frozen"/>
      <selection pane="bottomLeft" activeCell="J14" sqref="J14"/>
    </sheetView>
  </sheetViews>
  <sheetFormatPr baseColWidth="10" defaultColWidth="11.42578125" defaultRowHeight="13.5" x14ac:dyDescent="0.25"/>
  <cols>
    <col min="1" max="1" width="28.7109375" style="23" customWidth="1"/>
    <col min="2" max="13" width="10.7109375" style="23" customWidth="1"/>
    <col min="14" max="16384" width="11.42578125" style="23"/>
  </cols>
  <sheetData>
    <row r="1" spans="1:13" ht="20.100000000000001" customHeight="1" x14ac:dyDescent="0.25">
      <c r="A1" s="104"/>
      <c r="B1" s="105"/>
      <c r="C1" s="95" t="s">
        <v>0</v>
      </c>
      <c r="D1" s="96"/>
      <c r="E1" s="96"/>
      <c r="F1" s="96"/>
      <c r="G1" s="96"/>
      <c r="H1" s="96"/>
      <c r="I1" s="96"/>
      <c r="J1" s="97"/>
      <c r="K1" s="110" t="s">
        <v>1</v>
      </c>
      <c r="L1" s="111"/>
      <c r="M1" s="112"/>
    </row>
    <row r="2" spans="1:13" ht="20.100000000000001" customHeight="1" x14ac:dyDescent="0.25">
      <c r="A2" s="106"/>
      <c r="B2" s="107"/>
      <c r="C2" s="98"/>
      <c r="D2" s="99"/>
      <c r="E2" s="99"/>
      <c r="F2" s="99"/>
      <c r="G2" s="99"/>
      <c r="H2" s="99"/>
      <c r="I2" s="99"/>
      <c r="J2" s="100"/>
      <c r="K2" s="113"/>
      <c r="L2" s="114"/>
      <c r="M2" s="115"/>
    </row>
    <row r="3" spans="1:13" ht="20.100000000000001" customHeight="1" thickBot="1" x14ac:dyDescent="0.3">
      <c r="A3" s="108"/>
      <c r="B3" s="109"/>
      <c r="C3" s="101"/>
      <c r="D3" s="102"/>
      <c r="E3" s="102"/>
      <c r="F3" s="102"/>
      <c r="G3" s="102"/>
      <c r="H3" s="102"/>
      <c r="I3" s="102"/>
      <c r="J3" s="103"/>
      <c r="K3" s="116"/>
      <c r="L3" s="117"/>
      <c r="M3" s="118"/>
    </row>
    <row r="4" spans="1:13" ht="20.100000000000001" customHeight="1" thickBot="1" x14ac:dyDescent="0.3">
      <c r="A4" s="131" t="s">
        <v>2</v>
      </c>
      <c r="B4" s="133"/>
      <c r="C4" s="131" t="s">
        <v>3</v>
      </c>
      <c r="D4" s="132"/>
      <c r="E4" s="132"/>
      <c r="F4" s="132"/>
      <c r="G4" s="132"/>
      <c r="H4" s="133"/>
      <c r="I4" s="129" t="s">
        <v>4</v>
      </c>
      <c r="J4" s="130"/>
      <c r="K4" s="119" t="s">
        <v>5</v>
      </c>
      <c r="L4" s="120"/>
      <c r="M4" s="121"/>
    </row>
    <row r="5" spans="1:13" ht="8.25" customHeight="1" x14ac:dyDescent="0.25">
      <c r="A5" s="56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1"/>
    </row>
    <row r="6" spans="1:13" ht="20.100000000000001" customHeight="1" x14ac:dyDescent="0.3">
      <c r="A6" s="53" t="s">
        <v>6</v>
      </c>
      <c r="I6" s="51" t="s">
        <v>7</v>
      </c>
      <c r="J6" s="51"/>
      <c r="K6" s="51"/>
      <c r="L6" s="51"/>
      <c r="M6" s="52"/>
    </row>
    <row r="7" spans="1:13" ht="20.100000000000001" customHeight="1" x14ac:dyDescent="0.3">
      <c r="A7" s="26" t="s">
        <v>8</v>
      </c>
      <c r="I7" s="125" t="s">
        <v>74</v>
      </c>
      <c r="J7" s="125"/>
      <c r="K7" s="125"/>
      <c r="L7" s="125"/>
      <c r="M7" s="134"/>
    </row>
    <row r="8" spans="1:13" ht="20.100000000000001" customHeight="1" x14ac:dyDescent="0.25">
      <c r="A8" s="27"/>
      <c r="M8" s="25"/>
    </row>
    <row r="9" spans="1:13" ht="9.75" customHeight="1" x14ac:dyDescent="0.25">
      <c r="A9" s="24"/>
      <c r="M9" s="25"/>
    </row>
    <row r="10" spans="1:13" ht="7.5" customHeight="1" x14ac:dyDescent="0.25">
      <c r="A10" s="24"/>
      <c r="M10" s="25"/>
    </row>
    <row r="11" spans="1:13" ht="20.100000000000001" customHeight="1" thickBot="1" x14ac:dyDescent="0.3">
      <c r="A11" s="24"/>
      <c r="B11" s="67" t="s">
        <v>9</v>
      </c>
      <c r="C11" s="67" t="s">
        <v>10</v>
      </c>
      <c r="D11" s="67" t="s">
        <v>11</v>
      </c>
      <c r="E11" s="67" t="s">
        <v>12</v>
      </c>
      <c r="F11" s="67" t="s">
        <v>13</v>
      </c>
      <c r="G11" s="67" t="s">
        <v>14</v>
      </c>
      <c r="H11" s="67" t="s">
        <v>15</v>
      </c>
      <c r="I11" s="67" t="s">
        <v>16</v>
      </c>
      <c r="J11" s="67" t="s">
        <v>17</v>
      </c>
      <c r="K11" s="67" t="s">
        <v>18</v>
      </c>
      <c r="L11" s="67" t="s">
        <v>19</v>
      </c>
      <c r="M11" s="68" t="s">
        <v>20</v>
      </c>
    </row>
    <row r="12" spans="1:13" ht="20.100000000000001" customHeight="1" x14ac:dyDescent="0.25">
      <c r="A12" s="65" t="s">
        <v>21</v>
      </c>
      <c r="B12" s="69">
        <v>6</v>
      </c>
      <c r="C12" s="44">
        <v>5</v>
      </c>
      <c r="D12" s="44">
        <v>5</v>
      </c>
      <c r="E12" s="44">
        <v>4</v>
      </c>
      <c r="F12" s="44">
        <v>4</v>
      </c>
      <c r="G12" s="44">
        <v>4</v>
      </c>
      <c r="H12" s="44">
        <v>6</v>
      </c>
      <c r="I12" s="44">
        <v>2</v>
      </c>
      <c r="J12" s="44">
        <v>2</v>
      </c>
      <c r="K12" s="44"/>
      <c r="L12" s="44"/>
      <c r="M12" s="45"/>
    </row>
    <row r="13" spans="1:13" ht="20.100000000000001" customHeight="1" thickBot="1" x14ac:dyDescent="0.3">
      <c r="A13" s="66" t="s">
        <v>22</v>
      </c>
      <c r="B13" s="70">
        <v>6</v>
      </c>
      <c r="C13" s="46">
        <v>5</v>
      </c>
      <c r="D13" s="46">
        <v>5</v>
      </c>
      <c r="E13" s="46">
        <v>4</v>
      </c>
      <c r="F13" s="46">
        <v>4</v>
      </c>
      <c r="G13" s="46">
        <v>4</v>
      </c>
      <c r="H13" s="46">
        <v>6</v>
      </c>
      <c r="I13" s="46">
        <v>2</v>
      </c>
      <c r="J13" s="46">
        <v>2</v>
      </c>
      <c r="K13" s="46"/>
      <c r="L13" s="46"/>
      <c r="M13" s="47"/>
    </row>
    <row r="14" spans="1:13" ht="7.5" customHeight="1" x14ac:dyDescent="0.25">
      <c r="A14" s="24"/>
      <c r="M14" s="25"/>
    </row>
    <row r="15" spans="1:13" ht="20.100000000000001" customHeight="1" x14ac:dyDescent="0.25">
      <c r="A15" s="34" t="s">
        <v>23</v>
      </c>
      <c r="B15" s="35">
        <f t="shared" ref="B15:M15" si="0">(B13/B12)*100</f>
        <v>100</v>
      </c>
      <c r="C15" s="35">
        <f t="shared" si="0"/>
        <v>100</v>
      </c>
      <c r="D15" s="35">
        <f t="shared" si="0"/>
        <v>100</v>
      </c>
      <c r="E15" s="35">
        <f t="shared" si="0"/>
        <v>100</v>
      </c>
      <c r="F15" s="35">
        <f t="shared" si="0"/>
        <v>100</v>
      </c>
      <c r="G15" s="35">
        <f t="shared" si="0"/>
        <v>100</v>
      </c>
      <c r="H15" s="35">
        <f t="shared" si="0"/>
        <v>100</v>
      </c>
      <c r="I15" s="35">
        <f t="shared" si="0"/>
        <v>100</v>
      </c>
      <c r="J15" s="35">
        <f t="shared" si="0"/>
        <v>100</v>
      </c>
      <c r="K15" s="35" t="e">
        <f t="shared" si="0"/>
        <v>#DIV/0!</v>
      </c>
      <c r="L15" s="35" t="e">
        <f t="shared" si="0"/>
        <v>#DIV/0!</v>
      </c>
      <c r="M15" s="57" t="e">
        <f t="shared" si="0"/>
        <v>#DIV/0!</v>
      </c>
    </row>
    <row r="16" spans="1:13" x14ac:dyDescent="0.25">
      <c r="A16" s="24"/>
      <c r="M16" s="25"/>
    </row>
    <row r="17" spans="1:13" x14ac:dyDescent="0.25">
      <c r="A17" s="24"/>
      <c r="M17" s="25"/>
    </row>
    <row r="18" spans="1:13" x14ac:dyDescent="0.25">
      <c r="A18" s="24"/>
      <c r="M18" s="25"/>
    </row>
    <row r="19" spans="1:13" x14ac:dyDescent="0.25">
      <c r="A19" s="24"/>
      <c r="M19" s="25"/>
    </row>
    <row r="20" spans="1:13" x14ac:dyDescent="0.25">
      <c r="A20" s="24"/>
      <c r="M20" s="25"/>
    </row>
    <row r="21" spans="1:13" x14ac:dyDescent="0.25">
      <c r="A21" s="24"/>
      <c r="M21" s="25"/>
    </row>
    <row r="22" spans="1:13" x14ac:dyDescent="0.25">
      <c r="A22" s="24"/>
      <c r="M22" s="25"/>
    </row>
    <row r="23" spans="1:13" x14ac:dyDescent="0.25">
      <c r="A23" s="24"/>
      <c r="M23" s="25"/>
    </row>
    <row r="24" spans="1:13" x14ac:dyDescent="0.25">
      <c r="A24" s="24"/>
      <c r="M24" s="25"/>
    </row>
    <row r="25" spans="1:13" x14ac:dyDescent="0.25">
      <c r="A25" s="24"/>
      <c r="M25" s="25"/>
    </row>
    <row r="26" spans="1:13" x14ac:dyDescent="0.25">
      <c r="A26" s="24"/>
      <c r="M26" s="25"/>
    </row>
    <row r="27" spans="1:13" x14ac:dyDescent="0.25">
      <c r="A27" s="24"/>
      <c r="M27" s="25"/>
    </row>
    <row r="28" spans="1:13" x14ac:dyDescent="0.25">
      <c r="A28" s="24"/>
      <c r="M28" s="25"/>
    </row>
    <row r="29" spans="1:13" x14ac:dyDescent="0.25">
      <c r="A29" s="24"/>
      <c r="M29" s="25"/>
    </row>
    <row r="30" spans="1:13" x14ac:dyDescent="0.25">
      <c r="A30" s="24"/>
      <c r="M30" s="25"/>
    </row>
    <row r="31" spans="1:13" x14ac:dyDescent="0.25">
      <c r="A31" s="24"/>
      <c r="M31" s="25"/>
    </row>
    <row r="32" spans="1:13" x14ac:dyDescent="0.25">
      <c r="A32" s="24"/>
      <c r="M32" s="25"/>
    </row>
    <row r="33" spans="1:13" x14ac:dyDescent="0.25">
      <c r="A33" s="24"/>
      <c r="M33" s="25"/>
    </row>
    <row r="34" spans="1:13" x14ac:dyDescent="0.25">
      <c r="A34" s="24"/>
      <c r="M34" s="25"/>
    </row>
    <row r="35" spans="1:13" ht="14.25" thickBot="1" x14ac:dyDescent="0.3">
      <c r="A35" s="37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9"/>
    </row>
  </sheetData>
  <mergeCells count="8">
    <mergeCell ref="I7:M7"/>
    <mergeCell ref="A1:B3"/>
    <mergeCell ref="C1:J3"/>
    <mergeCell ref="K1:M3"/>
    <mergeCell ref="A4:B4"/>
    <mergeCell ref="I4:J4"/>
    <mergeCell ref="K4:M4"/>
    <mergeCell ref="C4:H4"/>
  </mergeCells>
  <phoneticPr fontId="0" type="noConversion"/>
  <conditionalFormatting sqref="B15:M15">
    <cfRule type="cellIs" dxfId="29" priority="1" stopIfTrue="1" operator="equal">
      <formula>0</formula>
    </cfRule>
    <cfRule type="cellIs" dxfId="28" priority="2" stopIfTrue="1" operator="lessThan">
      <formula>80</formula>
    </cfRule>
    <cfRule type="cellIs" dxfId="27" priority="3" stopIfTrue="1" operator="greaterThan">
      <formula>80</formula>
    </cfRule>
  </conditionalFormatting>
  <printOptions horizontalCentered="1" verticalCentered="1"/>
  <pageMargins left="0.31496062992125984" right="0.74803149606299213" top="0.98425196850393704" bottom="0.98425196850393704" header="0" footer="0"/>
  <pageSetup paperSize="9" scale="80" orientation="landscape" r:id="rId1"/>
  <headerFooter alignWithMargins="0"/>
  <ignoredErrors>
    <ignoredError sqref="C15:D15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8"/>
  <sheetViews>
    <sheetView showGridLines="0" zoomScale="80" zoomScaleNormal="80" workbookViewId="0">
      <pane ySplit="16" topLeftCell="A17" activePane="bottomLeft" state="frozen"/>
      <selection pane="bottomLeft" activeCell="J15" sqref="J15"/>
    </sheetView>
  </sheetViews>
  <sheetFormatPr baseColWidth="10" defaultColWidth="11.42578125" defaultRowHeight="13.5" x14ac:dyDescent="0.25"/>
  <cols>
    <col min="1" max="1" width="32.140625" style="23" customWidth="1"/>
    <col min="2" max="13" width="10.7109375" style="23" customWidth="1"/>
    <col min="14" max="16384" width="11.42578125" style="23"/>
  </cols>
  <sheetData>
    <row r="1" spans="1:23" ht="20.100000000000001" customHeight="1" x14ac:dyDescent="0.25">
      <c r="A1" s="104"/>
      <c r="B1" s="105"/>
      <c r="C1" s="95" t="s">
        <v>0</v>
      </c>
      <c r="D1" s="96"/>
      <c r="E1" s="96"/>
      <c r="F1" s="96"/>
      <c r="G1" s="96"/>
      <c r="H1" s="96"/>
      <c r="I1" s="96"/>
      <c r="J1" s="97"/>
      <c r="K1" s="110" t="s">
        <v>1</v>
      </c>
      <c r="L1" s="111"/>
      <c r="M1" s="112"/>
    </row>
    <row r="2" spans="1:23" ht="20.100000000000001" customHeight="1" x14ac:dyDescent="0.25">
      <c r="A2" s="106"/>
      <c r="B2" s="107"/>
      <c r="C2" s="98"/>
      <c r="D2" s="99"/>
      <c r="E2" s="99"/>
      <c r="F2" s="99"/>
      <c r="G2" s="99"/>
      <c r="H2" s="99"/>
      <c r="I2" s="99"/>
      <c r="J2" s="100"/>
      <c r="K2" s="113"/>
      <c r="L2" s="114"/>
      <c r="M2" s="115"/>
    </row>
    <row r="3" spans="1:23" ht="20.100000000000001" customHeight="1" thickBot="1" x14ac:dyDescent="0.3">
      <c r="A3" s="108"/>
      <c r="B3" s="109"/>
      <c r="C3" s="101"/>
      <c r="D3" s="102"/>
      <c r="E3" s="102"/>
      <c r="F3" s="102"/>
      <c r="G3" s="102"/>
      <c r="H3" s="102"/>
      <c r="I3" s="102"/>
      <c r="J3" s="103"/>
      <c r="K3" s="116"/>
      <c r="L3" s="117"/>
      <c r="M3" s="118"/>
    </row>
    <row r="4" spans="1:23" ht="20.100000000000001" customHeight="1" thickBot="1" x14ac:dyDescent="0.3">
      <c r="A4" s="131" t="s">
        <v>2</v>
      </c>
      <c r="B4" s="133"/>
      <c r="C4" s="131" t="s">
        <v>3</v>
      </c>
      <c r="D4" s="132"/>
      <c r="E4" s="132"/>
      <c r="F4" s="132"/>
      <c r="G4" s="132"/>
      <c r="H4" s="133"/>
      <c r="I4" s="129" t="s">
        <v>4</v>
      </c>
      <c r="J4" s="130"/>
      <c r="K4" s="119" t="s">
        <v>5</v>
      </c>
      <c r="L4" s="120"/>
      <c r="M4" s="121"/>
    </row>
    <row r="5" spans="1:23" ht="8.25" customHeight="1" x14ac:dyDescent="0.25">
      <c r="A5" s="24"/>
      <c r="M5" s="25"/>
    </row>
    <row r="6" spans="1:23" ht="20.100000000000001" customHeight="1" x14ac:dyDescent="0.3">
      <c r="A6" s="53" t="s">
        <v>6</v>
      </c>
      <c r="I6" s="51" t="s">
        <v>7</v>
      </c>
      <c r="J6" s="51"/>
      <c r="K6" s="51"/>
      <c r="L6" s="51"/>
      <c r="M6" s="52"/>
    </row>
    <row r="7" spans="1:23" ht="20.100000000000001" customHeight="1" x14ac:dyDescent="0.3">
      <c r="A7" s="26" t="s">
        <v>24</v>
      </c>
      <c r="I7" s="125" t="s">
        <v>74</v>
      </c>
      <c r="J7" s="125"/>
      <c r="K7" s="125"/>
      <c r="L7" s="125"/>
      <c r="M7" s="134"/>
    </row>
    <row r="8" spans="1:23" ht="20.100000000000001" customHeight="1" x14ac:dyDescent="0.25">
      <c r="A8" s="27" t="s">
        <v>25</v>
      </c>
      <c r="M8" s="25"/>
    </row>
    <row r="9" spans="1:23" ht="9.75" customHeight="1" x14ac:dyDescent="0.25">
      <c r="A9" s="24"/>
      <c r="M9" s="25"/>
    </row>
    <row r="10" spans="1:23" ht="21.75" customHeight="1" thickBot="1" x14ac:dyDescent="0.3">
      <c r="A10" s="24"/>
      <c r="B10" s="28" t="s">
        <v>9</v>
      </c>
      <c r="C10" s="28" t="s">
        <v>10</v>
      </c>
      <c r="D10" s="28" t="s">
        <v>11</v>
      </c>
      <c r="E10" s="28" t="s">
        <v>12</v>
      </c>
      <c r="F10" s="28" t="s">
        <v>13</v>
      </c>
      <c r="G10" s="28" t="s">
        <v>14</v>
      </c>
      <c r="H10" s="28" t="s">
        <v>15</v>
      </c>
      <c r="I10" s="28" t="s">
        <v>16</v>
      </c>
      <c r="J10" s="28" t="s">
        <v>17</v>
      </c>
      <c r="K10" s="28" t="s">
        <v>18</v>
      </c>
      <c r="L10" s="28" t="s">
        <v>19</v>
      </c>
      <c r="M10" s="29" t="s">
        <v>20</v>
      </c>
    </row>
    <row r="11" spans="1:23" ht="21.75" customHeight="1" x14ac:dyDescent="0.25">
      <c r="A11" s="42" t="s">
        <v>26</v>
      </c>
      <c r="B11" s="44">
        <v>6</v>
      </c>
      <c r="C11" s="44">
        <v>7</v>
      </c>
      <c r="D11" s="44">
        <v>5</v>
      </c>
      <c r="E11" s="44">
        <v>5</v>
      </c>
      <c r="F11" s="44">
        <v>6</v>
      </c>
      <c r="G11" s="44">
        <v>6</v>
      </c>
      <c r="H11" s="44">
        <v>6</v>
      </c>
      <c r="I11" s="44">
        <v>10</v>
      </c>
      <c r="J11" s="44">
        <v>4</v>
      </c>
      <c r="K11" s="44"/>
      <c r="L11" s="44"/>
      <c r="M11" s="45"/>
      <c r="O11" s="33"/>
      <c r="P11" s="33"/>
      <c r="Q11" s="33"/>
      <c r="R11" s="33"/>
      <c r="S11" s="33"/>
      <c r="T11" s="33"/>
      <c r="U11" s="33"/>
      <c r="V11" s="33"/>
      <c r="W11" s="33"/>
    </row>
    <row r="12" spans="1:23" ht="21.75" customHeight="1" thickBot="1" x14ac:dyDescent="0.3">
      <c r="A12" s="43" t="s">
        <v>27</v>
      </c>
      <c r="B12" s="46">
        <v>6</v>
      </c>
      <c r="C12" s="46">
        <v>7</v>
      </c>
      <c r="D12" s="46">
        <v>5</v>
      </c>
      <c r="E12" s="46">
        <v>5</v>
      </c>
      <c r="F12" s="46">
        <v>6</v>
      </c>
      <c r="G12" s="46">
        <v>6</v>
      </c>
      <c r="H12" s="46">
        <v>6</v>
      </c>
      <c r="I12" s="46">
        <v>10</v>
      </c>
      <c r="J12" s="46">
        <v>4</v>
      </c>
      <c r="K12" s="46"/>
      <c r="L12" s="46"/>
      <c r="M12" s="47"/>
      <c r="O12" s="33"/>
      <c r="P12" s="33"/>
      <c r="Q12" s="33"/>
      <c r="R12" s="33"/>
      <c r="S12" s="33"/>
      <c r="T12" s="33"/>
      <c r="U12" s="33"/>
      <c r="V12" s="33"/>
      <c r="W12" s="33"/>
    </row>
    <row r="13" spans="1:23" ht="21.75" hidden="1" customHeight="1" x14ac:dyDescent="0.25">
      <c r="A13" s="48" t="s">
        <v>28</v>
      </c>
      <c r="B13" s="49">
        <v>19</v>
      </c>
      <c r="C13" s="49">
        <v>19</v>
      </c>
      <c r="D13" s="49">
        <v>19</v>
      </c>
      <c r="E13" s="49">
        <v>19</v>
      </c>
      <c r="F13" s="49">
        <v>19</v>
      </c>
      <c r="G13" s="49">
        <v>19</v>
      </c>
      <c r="H13" s="49">
        <v>19</v>
      </c>
      <c r="I13" s="49">
        <v>19</v>
      </c>
      <c r="J13" s="49">
        <v>19</v>
      </c>
      <c r="K13" s="49">
        <v>19</v>
      </c>
      <c r="L13" s="49">
        <v>19</v>
      </c>
      <c r="M13" s="50">
        <v>19</v>
      </c>
      <c r="O13" s="33"/>
      <c r="P13" s="33"/>
      <c r="Q13" s="33"/>
      <c r="R13" s="33"/>
      <c r="S13" s="33"/>
      <c r="T13" s="33"/>
      <c r="U13" s="33"/>
      <c r="V13" s="33"/>
      <c r="W13" s="33"/>
    </row>
    <row r="14" spans="1:23" ht="21.75" hidden="1" customHeight="1" thickBot="1" x14ac:dyDescent="0.3">
      <c r="A14" s="43" t="s">
        <v>29</v>
      </c>
      <c r="B14" s="46">
        <v>19</v>
      </c>
      <c r="C14" s="46">
        <v>19</v>
      </c>
      <c r="D14" s="46">
        <v>19</v>
      </c>
      <c r="E14" s="46">
        <v>19</v>
      </c>
      <c r="F14" s="46">
        <v>19</v>
      </c>
      <c r="G14" s="46">
        <v>19</v>
      </c>
      <c r="H14" s="46">
        <v>19</v>
      </c>
      <c r="I14" s="46">
        <v>19</v>
      </c>
      <c r="J14" s="46">
        <v>19</v>
      </c>
      <c r="K14" s="46">
        <v>19</v>
      </c>
      <c r="L14" s="46">
        <v>19</v>
      </c>
      <c r="M14" s="47">
        <v>19</v>
      </c>
      <c r="O14" s="33"/>
      <c r="P14" s="33"/>
      <c r="Q14" s="33"/>
      <c r="R14" s="33"/>
      <c r="S14" s="33"/>
      <c r="T14" s="33"/>
      <c r="U14" s="33"/>
      <c r="V14" s="33"/>
      <c r="W14" s="33"/>
    </row>
    <row r="15" spans="1:23" ht="7.5" customHeight="1" x14ac:dyDescent="0.25">
      <c r="A15" s="24"/>
      <c r="M15" s="25"/>
    </row>
    <row r="16" spans="1:23" ht="21.75" customHeight="1" x14ac:dyDescent="0.25">
      <c r="A16" s="34" t="s">
        <v>30</v>
      </c>
      <c r="B16" s="35">
        <f>(B12*B14*100)/(B11*B13)</f>
        <v>100</v>
      </c>
      <c r="C16" s="35">
        <f t="shared" ref="C16:M16" si="0">(C12*C14*100)/(C11*C13)</f>
        <v>100</v>
      </c>
      <c r="D16" s="35">
        <f t="shared" si="0"/>
        <v>100</v>
      </c>
      <c r="E16" s="35">
        <f t="shared" si="0"/>
        <v>100</v>
      </c>
      <c r="F16" s="35">
        <f t="shared" si="0"/>
        <v>100</v>
      </c>
      <c r="G16" s="35">
        <f t="shared" si="0"/>
        <v>100</v>
      </c>
      <c r="H16" s="35">
        <f t="shared" si="0"/>
        <v>100</v>
      </c>
      <c r="I16" s="35">
        <f t="shared" si="0"/>
        <v>100</v>
      </c>
      <c r="J16" s="35">
        <f t="shared" si="0"/>
        <v>100</v>
      </c>
      <c r="K16" s="35" t="e">
        <f t="shared" si="0"/>
        <v>#DIV/0!</v>
      </c>
      <c r="L16" s="35" t="e">
        <f t="shared" si="0"/>
        <v>#DIV/0!</v>
      </c>
      <c r="M16" s="35" t="e">
        <f t="shared" si="0"/>
        <v>#DIV/0!</v>
      </c>
      <c r="O16" s="36"/>
      <c r="P16" s="36"/>
      <c r="Q16" s="36"/>
      <c r="R16" s="36"/>
      <c r="S16" s="36"/>
      <c r="T16" s="36"/>
      <c r="U16" s="36"/>
      <c r="V16" s="36"/>
      <c r="W16" s="36"/>
    </row>
    <row r="17" spans="1:13" x14ac:dyDescent="0.25">
      <c r="A17" s="24"/>
      <c r="M17" s="25"/>
    </row>
    <row r="18" spans="1:13" x14ac:dyDescent="0.25">
      <c r="A18" s="24"/>
      <c r="M18" s="25"/>
    </row>
    <row r="19" spans="1:13" x14ac:dyDescent="0.25">
      <c r="A19" s="24"/>
      <c r="M19" s="25"/>
    </row>
    <row r="20" spans="1:13" x14ac:dyDescent="0.25">
      <c r="A20" s="24"/>
      <c r="M20" s="25"/>
    </row>
    <row r="21" spans="1:13" x14ac:dyDescent="0.25">
      <c r="A21" s="24"/>
      <c r="M21" s="25"/>
    </row>
    <row r="22" spans="1:13" x14ac:dyDescent="0.25">
      <c r="A22" s="24"/>
      <c r="M22" s="25"/>
    </row>
    <row r="23" spans="1:13" x14ac:dyDescent="0.25">
      <c r="A23" s="24"/>
      <c r="M23" s="25"/>
    </row>
    <row r="24" spans="1:13" x14ac:dyDescent="0.25">
      <c r="A24" s="24"/>
      <c r="M24" s="25"/>
    </row>
    <row r="25" spans="1:13" x14ac:dyDescent="0.25">
      <c r="A25" s="24"/>
      <c r="M25" s="25"/>
    </row>
    <row r="26" spans="1:13" x14ac:dyDescent="0.25">
      <c r="A26" s="24"/>
      <c r="M26" s="25"/>
    </row>
    <row r="27" spans="1:13" x14ac:dyDescent="0.25">
      <c r="A27" s="24"/>
      <c r="M27" s="25"/>
    </row>
    <row r="28" spans="1:13" x14ac:dyDescent="0.25">
      <c r="A28" s="24"/>
      <c r="M28" s="25"/>
    </row>
    <row r="29" spans="1:13" x14ac:dyDescent="0.25">
      <c r="A29" s="24"/>
      <c r="M29" s="25"/>
    </row>
    <row r="30" spans="1:13" x14ac:dyDescent="0.25">
      <c r="A30" s="24"/>
      <c r="M30" s="25"/>
    </row>
    <row r="31" spans="1:13" x14ac:dyDescent="0.25">
      <c r="A31" s="24"/>
      <c r="M31" s="25"/>
    </row>
    <row r="32" spans="1:13" x14ac:dyDescent="0.25">
      <c r="A32" s="24"/>
      <c r="M32" s="25"/>
    </row>
    <row r="33" spans="1:13" x14ac:dyDescent="0.25">
      <c r="A33" s="24"/>
      <c r="M33" s="25"/>
    </row>
    <row r="34" spans="1:13" x14ac:dyDescent="0.25">
      <c r="A34" s="24"/>
      <c r="M34" s="25"/>
    </row>
    <row r="35" spans="1:13" x14ac:dyDescent="0.25">
      <c r="A35" s="24"/>
      <c r="M35" s="25"/>
    </row>
    <row r="36" spans="1:13" x14ac:dyDescent="0.25">
      <c r="A36" s="24"/>
      <c r="M36" s="25"/>
    </row>
    <row r="37" spans="1:13" x14ac:dyDescent="0.25">
      <c r="A37" s="24"/>
      <c r="M37" s="25"/>
    </row>
    <row r="38" spans="1:13" ht="14.25" thickBot="1" x14ac:dyDescent="0.3">
      <c r="A38" s="37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9"/>
    </row>
  </sheetData>
  <mergeCells count="8">
    <mergeCell ref="C1:J3"/>
    <mergeCell ref="A1:B3"/>
    <mergeCell ref="I7:M7"/>
    <mergeCell ref="K1:M3"/>
    <mergeCell ref="K4:M4"/>
    <mergeCell ref="I4:J4"/>
    <mergeCell ref="A4:B4"/>
    <mergeCell ref="C4:H4"/>
  </mergeCells>
  <phoneticPr fontId="0" type="noConversion"/>
  <conditionalFormatting sqref="B16:M16">
    <cfRule type="cellIs" dxfId="26" priority="1" stopIfTrue="1" operator="equal">
      <formula>0</formula>
    </cfRule>
    <cfRule type="cellIs" dxfId="25" priority="2" stopIfTrue="1" operator="lessThan">
      <formula>80</formula>
    </cfRule>
    <cfRule type="cellIs" dxfId="24" priority="3" stopIfTrue="1" operator="greaterThan">
      <formula>80</formula>
    </cfRule>
  </conditionalFormatting>
  <printOptions horizontalCentered="1" verticalCentered="1"/>
  <pageMargins left="0.74803149606299213" right="0.74803149606299213" top="0.55118110236220474" bottom="0.55118110236220474" header="0.15748031496062992" footer="0.15748031496062992"/>
  <pageSetup paperSize="9" scale="8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"/>
  <sheetViews>
    <sheetView showGridLines="0" zoomScale="80" zoomScaleNormal="80" workbookViewId="0">
      <pane ySplit="15" topLeftCell="A19" activePane="bottomLeft" state="frozen"/>
      <selection pane="bottomLeft" activeCell="J12" sqref="J12"/>
    </sheetView>
  </sheetViews>
  <sheetFormatPr baseColWidth="10" defaultColWidth="11.42578125" defaultRowHeight="12.75" x14ac:dyDescent="0.2"/>
  <cols>
    <col min="1" max="1" width="26.42578125" customWidth="1"/>
    <col min="2" max="13" width="10.7109375" customWidth="1"/>
  </cols>
  <sheetData>
    <row r="1" spans="1:13" s="23" customFormat="1" ht="20.100000000000001" customHeight="1" x14ac:dyDescent="0.25">
      <c r="A1" s="104"/>
      <c r="B1" s="105"/>
      <c r="C1" s="95" t="s">
        <v>0</v>
      </c>
      <c r="D1" s="96"/>
      <c r="E1" s="96"/>
      <c r="F1" s="96"/>
      <c r="G1" s="96"/>
      <c r="H1" s="96"/>
      <c r="I1" s="96"/>
      <c r="J1" s="97"/>
      <c r="K1" s="110" t="s">
        <v>1</v>
      </c>
      <c r="L1" s="111"/>
      <c r="M1" s="112"/>
    </row>
    <row r="2" spans="1:13" s="23" customFormat="1" ht="20.100000000000001" customHeight="1" x14ac:dyDescent="0.25">
      <c r="A2" s="106"/>
      <c r="B2" s="107"/>
      <c r="C2" s="98"/>
      <c r="D2" s="99"/>
      <c r="E2" s="99"/>
      <c r="F2" s="99"/>
      <c r="G2" s="99"/>
      <c r="H2" s="99"/>
      <c r="I2" s="99"/>
      <c r="J2" s="100"/>
      <c r="K2" s="113"/>
      <c r="L2" s="114"/>
      <c r="M2" s="115"/>
    </row>
    <row r="3" spans="1:13" s="23" customFormat="1" ht="20.100000000000001" customHeight="1" thickBot="1" x14ac:dyDescent="0.3">
      <c r="A3" s="108"/>
      <c r="B3" s="109"/>
      <c r="C3" s="101"/>
      <c r="D3" s="102"/>
      <c r="E3" s="102"/>
      <c r="F3" s="102"/>
      <c r="G3" s="102"/>
      <c r="H3" s="102"/>
      <c r="I3" s="102"/>
      <c r="J3" s="103"/>
      <c r="K3" s="116"/>
      <c r="L3" s="117"/>
      <c r="M3" s="118"/>
    </row>
    <row r="4" spans="1:13" s="23" customFormat="1" ht="20.100000000000001" customHeight="1" thickBot="1" x14ac:dyDescent="0.3">
      <c r="A4" s="131" t="s">
        <v>2</v>
      </c>
      <c r="B4" s="133"/>
      <c r="C4" s="131" t="s">
        <v>3</v>
      </c>
      <c r="D4" s="132"/>
      <c r="E4" s="132"/>
      <c r="F4" s="132"/>
      <c r="G4" s="132"/>
      <c r="H4" s="133"/>
      <c r="I4" s="129" t="s">
        <v>4</v>
      </c>
      <c r="J4" s="130"/>
      <c r="K4" s="119" t="s">
        <v>5</v>
      </c>
      <c r="L4" s="120"/>
      <c r="M4" s="121"/>
    </row>
    <row r="5" spans="1:13" s="23" customFormat="1" ht="8.25" customHeight="1" x14ac:dyDescent="0.25">
      <c r="A5" s="24"/>
      <c r="M5" s="25"/>
    </row>
    <row r="6" spans="1:13" s="23" customFormat="1" ht="20.100000000000001" customHeight="1" x14ac:dyDescent="0.3">
      <c r="A6" s="26" t="s">
        <v>31</v>
      </c>
      <c r="I6" s="125" t="s">
        <v>7</v>
      </c>
      <c r="J6" s="125"/>
      <c r="K6" s="125"/>
      <c r="L6" s="125"/>
      <c r="M6" s="134"/>
    </row>
    <row r="7" spans="1:13" s="23" customFormat="1" ht="20.100000000000001" customHeight="1" x14ac:dyDescent="0.3">
      <c r="A7" s="27" t="s">
        <v>32</v>
      </c>
      <c r="I7" s="125" t="s">
        <v>74</v>
      </c>
      <c r="J7" s="125"/>
      <c r="K7" s="125"/>
      <c r="L7" s="125"/>
      <c r="M7" s="134"/>
    </row>
    <row r="8" spans="1:13" s="23" customFormat="1" ht="8.25" customHeight="1" x14ac:dyDescent="0.25">
      <c r="A8" s="24"/>
      <c r="M8" s="25"/>
    </row>
    <row r="9" spans="1:13" s="23" customFormat="1" ht="21.95" customHeight="1" x14ac:dyDescent="0.25">
      <c r="A9" s="24"/>
      <c r="B9" s="28" t="s">
        <v>9</v>
      </c>
      <c r="C9" s="28" t="s">
        <v>10</v>
      </c>
      <c r="D9" s="28" t="s">
        <v>11</v>
      </c>
      <c r="E9" s="28" t="s">
        <v>12</v>
      </c>
      <c r="F9" s="28" t="s">
        <v>13</v>
      </c>
      <c r="G9" s="28" t="s">
        <v>14</v>
      </c>
      <c r="H9" s="28" t="s">
        <v>15</v>
      </c>
      <c r="I9" s="28" t="s">
        <v>16</v>
      </c>
      <c r="J9" s="28" t="s">
        <v>17</v>
      </c>
      <c r="K9" s="28" t="s">
        <v>18</v>
      </c>
      <c r="L9" s="28" t="s">
        <v>19</v>
      </c>
      <c r="M9" s="29" t="s">
        <v>20</v>
      </c>
    </row>
    <row r="10" spans="1:13" s="23" customFormat="1" ht="21.95" customHeight="1" x14ac:dyDescent="0.25">
      <c r="A10" s="30" t="s">
        <v>33</v>
      </c>
      <c r="B10" s="31">
        <v>6</v>
      </c>
      <c r="C10" s="31">
        <v>6</v>
      </c>
      <c r="D10" s="31">
        <v>6</v>
      </c>
      <c r="E10" s="31">
        <v>6</v>
      </c>
      <c r="F10" s="31">
        <v>6</v>
      </c>
      <c r="G10" s="31">
        <v>6</v>
      </c>
      <c r="H10" s="31">
        <v>7</v>
      </c>
      <c r="I10" s="31">
        <v>10</v>
      </c>
      <c r="J10" s="31">
        <v>5</v>
      </c>
      <c r="K10" s="31"/>
      <c r="L10" s="31"/>
      <c r="M10" s="32"/>
    </row>
    <row r="11" spans="1:13" s="23" customFormat="1" ht="21.95" customHeight="1" x14ac:dyDescent="0.25">
      <c r="A11" s="30" t="s">
        <v>34</v>
      </c>
      <c r="B11" s="31">
        <v>6</v>
      </c>
      <c r="C11" s="31">
        <v>6</v>
      </c>
      <c r="D11" s="31">
        <v>6</v>
      </c>
      <c r="E11" s="31">
        <v>6</v>
      </c>
      <c r="F11" s="31">
        <v>6</v>
      </c>
      <c r="G11" s="31">
        <v>6</v>
      </c>
      <c r="H11" s="31">
        <v>7</v>
      </c>
      <c r="I11" s="31">
        <v>10</v>
      </c>
      <c r="J11" s="31">
        <v>5</v>
      </c>
      <c r="K11" s="31"/>
      <c r="L11" s="31"/>
      <c r="M11" s="32"/>
    </row>
    <row r="12" spans="1:13" s="23" customFormat="1" ht="21.95" customHeight="1" x14ac:dyDescent="0.25">
      <c r="A12" s="30" t="s">
        <v>35</v>
      </c>
      <c r="B12" s="31">
        <v>95</v>
      </c>
      <c r="C12" s="31">
        <v>95</v>
      </c>
      <c r="D12" s="31">
        <v>95</v>
      </c>
      <c r="E12" s="31">
        <v>95</v>
      </c>
      <c r="F12" s="31">
        <v>95</v>
      </c>
      <c r="G12" s="31">
        <v>95</v>
      </c>
      <c r="H12" s="31">
        <v>95</v>
      </c>
      <c r="I12" s="31">
        <v>95</v>
      </c>
      <c r="J12" s="31">
        <v>50</v>
      </c>
      <c r="K12" s="31"/>
      <c r="L12" s="31"/>
      <c r="M12" s="32"/>
    </row>
    <row r="13" spans="1:13" s="23" customFormat="1" ht="21.95" customHeight="1" x14ac:dyDescent="0.25">
      <c r="A13" s="30" t="s">
        <v>36</v>
      </c>
      <c r="B13" s="31">
        <v>89</v>
      </c>
      <c r="C13" s="31">
        <v>90</v>
      </c>
      <c r="D13" s="31">
        <v>88</v>
      </c>
      <c r="E13" s="31">
        <v>78</v>
      </c>
      <c r="F13" s="31">
        <v>80</v>
      </c>
      <c r="G13" s="31">
        <v>81</v>
      </c>
      <c r="H13" s="31">
        <v>90</v>
      </c>
      <c r="I13" s="31">
        <v>90</v>
      </c>
      <c r="J13" s="31">
        <v>48</v>
      </c>
      <c r="K13" s="31"/>
      <c r="L13" s="31"/>
      <c r="M13" s="32"/>
    </row>
    <row r="14" spans="1:13" s="23" customFormat="1" ht="7.5" customHeight="1" x14ac:dyDescent="0.25">
      <c r="A14" s="24"/>
      <c r="M14" s="25"/>
    </row>
    <row r="15" spans="1:13" s="23" customFormat="1" ht="21.95" customHeight="1" x14ac:dyDescent="0.25">
      <c r="A15" s="34" t="s">
        <v>37</v>
      </c>
      <c r="B15" s="35">
        <f>(B11*B13*100)/(B10*B12)</f>
        <v>93.684210526315795</v>
      </c>
      <c r="C15" s="35">
        <f t="shared" ref="C15:M15" si="0">(C11*C13*100)/(C10*C12)</f>
        <v>94.736842105263165</v>
      </c>
      <c r="D15" s="35">
        <f t="shared" si="0"/>
        <v>92.631578947368425</v>
      </c>
      <c r="E15" s="35">
        <f t="shared" si="0"/>
        <v>82.10526315789474</v>
      </c>
      <c r="F15" s="35">
        <f t="shared" si="0"/>
        <v>84.21052631578948</v>
      </c>
      <c r="G15" s="35">
        <f t="shared" si="0"/>
        <v>85.263157894736835</v>
      </c>
      <c r="H15" s="35">
        <f t="shared" si="0"/>
        <v>94.736842105263165</v>
      </c>
      <c r="I15" s="35">
        <f t="shared" si="0"/>
        <v>94.736842105263165</v>
      </c>
      <c r="J15" s="35">
        <f t="shared" si="0"/>
        <v>96</v>
      </c>
      <c r="K15" s="35" t="e">
        <f t="shared" si="0"/>
        <v>#DIV/0!</v>
      </c>
      <c r="L15" s="35" t="e">
        <f t="shared" si="0"/>
        <v>#DIV/0!</v>
      </c>
      <c r="M15" s="35" t="e">
        <f t="shared" si="0"/>
        <v>#DIV/0!</v>
      </c>
    </row>
    <row r="16" spans="1:13" x14ac:dyDescent="0.2">
      <c r="A16" s="5"/>
      <c r="M16" s="6"/>
    </row>
    <row r="17" spans="1:13" x14ac:dyDescent="0.2">
      <c r="A17" s="5"/>
      <c r="M17" s="6"/>
    </row>
    <row r="18" spans="1:13" x14ac:dyDescent="0.2">
      <c r="A18" s="5"/>
      <c r="M18" s="6"/>
    </row>
    <row r="19" spans="1:13" x14ac:dyDescent="0.2">
      <c r="A19" s="5"/>
      <c r="M19" s="6"/>
    </row>
    <row r="20" spans="1:13" x14ac:dyDescent="0.2">
      <c r="A20" s="5"/>
      <c r="M20" s="6"/>
    </row>
    <row r="21" spans="1:13" x14ac:dyDescent="0.2">
      <c r="A21" s="5"/>
      <c r="M21" s="6"/>
    </row>
    <row r="22" spans="1:13" x14ac:dyDescent="0.2">
      <c r="A22" s="5"/>
      <c r="M22" s="6"/>
    </row>
    <row r="23" spans="1:13" x14ac:dyDescent="0.2">
      <c r="A23" s="5"/>
      <c r="M23" s="6"/>
    </row>
    <row r="24" spans="1:13" x14ac:dyDescent="0.2">
      <c r="A24" s="5"/>
      <c r="M24" s="6"/>
    </row>
    <row r="25" spans="1:13" x14ac:dyDescent="0.2">
      <c r="A25" s="5"/>
      <c r="M25" s="6"/>
    </row>
    <row r="26" spans="1:13" x14ac:dyDescent="0.2">
      <c r="A26" s="5"/>
      <c r="M26" s="6"/>
    </row>
    <row r="27" spans="1:13" x14ac:dyDescent="0.2">
      <c r="A27" s="5"/>
      <c r="M27" s="6"/>
    </row>
    <row r="28" spans="1:13" x14ac:dyDescent="0.2">
      <c r="A28" s="5"/>
      <c r="M28" s="6"/>
    </row>
    <row r="29" spans="1:13" x14ac:dyDescent="0.2">
      <c r="A29" s="5"/>
      <c r="M29" s="6"/>
    </row>
    <row r="30" spans="1:13" x14ac:dyDescent="0.2">
      <c r="A30" s="5"/>
      <c r="M30" s="6"/>
    </row>
    <row r="31" spans="1:13" x14ac:dyDescent="0.2">
      <c r="A31" s="5"/>
      <c r="M31" s="6"/>
    </row>
    <row r="32" spans="1:13" x14ac:dyDescent="0.2">
      <c r="A32" s="5"/>
      <c r="M32" s="6"/>
    </row>
    <row r="33" spans="1:13" x14ac:dyDescent="0.2">
      <c r="A33" s="5"/>
      <c r="M33" s="6"/>
    </row>
    <row r="34" spans="1:13" x14ac:dyDescent="0.2">
      <c r="A34" s="5"/>
      <c r="M34" s="6"/>
    </row>
    <row r="35" spans="1:13" x14ac:dyDescent="0.2">
      <c r="A35" s="5"/>
      <c r="M35" s="6"/>
    </row>
    <row r="36" spans="1:13" ht="13.5" thickBo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9"/>
    </row>
  </sheetData>
  <mergeCells count="9">
    <mergeCell ref="I6:M6"/>
    <mergeCell ref="I7:M7"/>
    <mergeCell ref="A1:B3"/>
    <mergeCell ref="C1:J3"/>
    <mergeCell ref="K1:M3"/>
    <mergeCell ref="A4:B4"/>
    <mergeCell ref="I4:J4"/>
    <mergeCell ref="K4:M4"/>
    <mergeCell ref="C4:H4"/>
  </mergeCells>
  <phoneticPr fontId="0" type="noConversion"/>
  <conditionalFormatting sqref="B15:M15">
    <cfRule type="cellIs" dxfId="23" priority="1" stopIfTrue="1" operator="equal">
      <formula>0</formula>
    </cfRule>
    <cfRule type="cellIs" dxfId="22" priority="2" stopIfTrue="1" operator="lessThan">
      <formula>80</formula>
    </cfRule>
    <cfRule type="cellIs" dxfId="21" priority="3" stopIfTrue="1" operator="greaterThan">
      <formula>80</formula>
    </cfRule>
  </conditionalFormatting>
  <printOptions horizontalCentered="1" verticalCentered="1"/>
  <pageMargins left="0.47244094488188981" right="0.74803149606299213" top="0.59055118110236227" bottom="0.98425196850393704" header="0" footer="0"/>
  <pageSetup paperSize="9" scale="80" orientation="landscape" r:id="rId1"/>
  <headerFooter alignWithMargins="0"/>
  <ignoredErrors>
    <ignoredError sqref="B15:D15" evalError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"/>
  <sheetViews>
    <sheetView showGridLines="0" zoomScale="80" zoomScaleNormal="80" workbookViewId="0">
      <pane ySplit="14" topLeftCell="A15" activePane="bottomLeft" state="frozen"/>
      <selection pane="bottomLeft" activeCell="J13" sqref="J13"/>
    </sheetView>
  </sheetViews>
  <sheetFormatPr baseColWidth="10" defaultColWidth="11.42578125" defaultRowHeight="12.75" x14ac:dyDescent="0.2"/>
  <cols>
    <col min="1" max="1" width="35.28515625" customWidth="1"/>
    <col min="2" max="13" width="10.7109375" customWidth="1"/>
  </cols>
  <sheetData>
    <row r="1" spans="1:14" s="23" customFormat="1" ht="20.100000000000001" customHeight="1" x14ac:dyDescent="0.25">
      <c r="A1" s="104"/>
      <c r="B1" s="105"/>
      <c r="C1" s="95" t="s">
        <v>0</v>
      </c>
      <c r="D1" s="96"/>
      <c r="E1" s="96"/>
      <c r="F1" s="96"/>
      <c r="G1" s="96"/>
      <c r="H1" s="96"/>
      <c r="I1" s="96"/>
      <c r="J1" s="97"/>
      <c r="K1" s="110" t="s">
        <v>1</v>
      </c>
      <c r="L1" s="111"/>
      <c r="M1" s="112"/>
    </row>
    <row r="2" spans="1:14" s="23" customFormat="1" ht="20.100000000000001" customHeight="1" x14ac:dyDescent="0.25">
      <c r="A2" s="106"/>
      <c r="B2" s="107"/>
      <c r="C2" s="98"/>
      <c r="D2" s="99"/>
      <c r="E2" s="99"/>
      <c r="F2" s="99"/>
      <c r="G2" s="99"/>
      <c r="H2" s="99"/>
      <c r="I2" s="99"/>
      <c r="J2" s="100"/>
      <c r="K2" s="113"/>
      <c r="L2" s="114"/>
      <c r="M2" s="115"/>
    </row>
    <row r="3" spans="1:14" s="23" customFormat="1" ht="20.100000000000001" customHeight="1" thickBot="1" x14ac:dyDescent="0.3">
      <c r="A3" s="108"/>
      <c r="B3" s="109"/>
      <c r="C3" s="101"/>
      <c r="D3" s="102"/>
      <c r="E3" s="102"/>
      <c r="F3" s="102"/>
      <c r="G3" s="102"/>
      <c r="H3" s="102"/>
      <c r="I3" s="102"/>
      <c r="J3" s="103"/>
      <c r="K3" s="116"/>
      <c r="L3" s="117"/>
      <c r="M3" s="118"/>
    </row>
    <row r="4" spans="1:14" s="23" customFormat="1" ht="20.100000000000001" customHeight="1" thickBot="1" x14ac:dyDescent="0.3">
      <c r="A4" s="131" t="s">
        <v>2</v>
      </c>
      <c r="B4" s="133"/>
      <c r="C4" s="131" t="s">
        <v>3</v>
      </c>
      <c r="D4" s="132"/>
      <c r="E4" s="132"/>
      <c r="F4" s="132"/>
      <c r="G4" s="132"/>
      <c r="H4" s="133"/>
      <c r="I4" s="129" t="s">
        <v>4</v>
      </c>
      <c r="J4" s="130"/>
      <c r="K4" s="119" t="s">
        <v>5</v>
      </c>
      <c r="L4" s="120"/>
      <c r="M4" s="121"/>
    </row>
    <row r="5" spans="1:14" ht="12.75" customHeight="1" x14ac:dyDescent="0.2">
      <c r="A5" s="5"/>
      <c r="M5" s="6"/>
    </row>
    <row r="6" spans="1:14" ht="20.100000000000001" customHeight="1" x14ac:dyDescent="0.3">
      <c r="A6" s="10" t="s">
        <v>38</v>
      </c>
      <c r="I6" s="125" t="s">
        <v>7</v>
      </c>
      <c r="J6" s="125"/>
      <c r="K6" s="125"/>
      <c r="L6" s="125"/>
      <c r="M6" s="134"/>
    </row>
    <row r="7" spans="1:14" ht="20.100000000000001" customHeight="1" x14ac:dyDescent="0.3">
      <c r="A7" s="27" t="s">
        <v>39</v>
      </c>
      <c r="I7" s="125" t="s">
        <v>74</v>
      </c>
      <c r="J7" s="125"/>
      <c r="K7" s="125"/>
      <c r="L7" s="125"/>
      <c r="M7" s="134"/>
    </row>
    <row r="8" spans="1:14" ht="20.100000000000001" customHeight="1" x14ac:dyDescent="0.2">
      <c r="M8" s="6"/>
    </row>
    <row r="9" spans="1:14" ht="15" customHeight="1" x14ac:dyDescent="0.2">
      <c r="A9" s="5"/>
      <c r="M9" s="6"/>
    </row>
    <row r="10" spans="1:14" ht="21.95" customHeight="1" x14ac:dyDescent="0.2">
      <c r="A10" s="5"/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17</v>
      </c>
      <c r="K10" s="1" t="s">
        <v>18</v>
      </c>
      <c r="L10" s="1" t="s">
        <v>19</v>
      </c>
      <c r="M10" s="12" t="s">
        <v>20</v>
      </c>
    </row>
    <row r="11" spans="1:14" ht="21.95" customHeight="1" x14ac:dyDescent="0.2">
      <c r="A11" s="15" t="s">
        <v>40</v>
      </c>
      <c r="B11" s="2">
        <v>8</v>
      </c>
      <c r="C11" s="2">
        <v>7</v>
      </c>
      <c r="D11" s="2">
        <v>4</v>
      </c>
      <c r="E11" s="3">
        <v>6</v>
      </c>
      <c r="F11" s="3">
        <v>7</v>
      </c>
      <c r="G11" s="3">
        <v>6</v>
      </c>
      <c r="H11" s="3">
        <v>7</v>
      </c>
      <c r="I11" s="3">
        <v>6</v>
      </c>
      <c r="J11" s="3">
        <v>4</v>
      </c>
      <c r="K11" s="3"/>
      <c r="L11" s="3"/>
      <c r="M11" s="16"/>
    </row>
    <row r="12" spans="1:14" ht="21.95" customHeight="1" x14ac:dyDescent="0.2">
      <c r="A12" s="15" t="s">
        <v>41</v>
      </c>
      <c r="B12" s="2">
        <v>7</v>
      </c>
      <c r="C12" s="2">
        <v>7</v>
      </c>
      <c r="D12" s="2">
        <v>4</v>
      </c>
      <c r="E12" s="3">
        <v>5</v>
      </c>
      <c r="F12" s="3">
        <v>6</v>
      </c>
      <c r="G12" s="3">
        <v>5</v>
      </c>
      <c r="H12" s="3">
        <v>7</v>
      </c>
      <c r="I12" s="3">
        <v>6</v>
      </c>
      <c r="J12" s="3">
        <v>4</v>
      </c>
      <c r="K12" s="3"/>
      <c r="L12" s="3"/>
      <c r="M12" s="16"/>
    </row>
    <row r="13" spans="1:14" ht="9.75" customHeight="1" x14ac:dyDescent="0.2">
      <c r="A13" s="5"/>
      <c r="M13" s="6"/>
    </row>
    <row r="14" spans="1:14" ht="21.95" customHeight="1" x14ac:dyDescent="0.2">
      <c r="A14" s="13" t="s">
        <v>42</v>
      </c>
      <c r="B14" s="35">
        <f>(B12/B11)*100</f>
        <v>87.5</v>
      </c>
      <c r="C14" s="35">
        <f t="shared" ref="C14:M14" si="0">(C12/C11)*100</f>
        <v>100</v>
      </c>
      <c r="D14" s="35">
        <f t="shared" si="0"/>
        <v>100</v>
      </c>
      <c r="E14" s="35">
        <f t="shared" si="0"/>
        <v>83.333333333333343</v>
      </c>
      <c r="F14" s="35">
        <f t="shared" si="0"/>
        <v>85.714285714285708</v>
      </c>
      <c r="G14" s="35">
        <f t="shared" si="0"/>
        <v>83.333333333333343</v>
      </c>
      <c r="H14" s="35">
        <f t="shared" si="0"/>
        <v>100</v>
      </c>
      <c r="I14" s="35">
        <f t="shared" si="0"/>
        <v>100</v>
      </c>
      <c r="J14" s="35">
        <f t="shared" si="0"/>
        <v>100</v>
      </c>
      <c r="K14" s="35" t="e">
        <f t="shared" si="0"/>
        <v>#DIV/0!</v>
      </c>
      <c r="L14" s="35" t="e">
        <f t="shared" si="0"/>
        <v>#DIV/0!</v>
      </c>
      <c r="M14" s="35" t="e">
        <f t="shared" si="0"/>
        <v>#DIV/0!</v>
      </c>
      <c r="N14" s="4"/>
    </row>
    <row r="15" spans="1:14" x14ac:dyDescent="0.2">
      <c r="A15" s="5"/>
    </row>
    <row r="16" spans="1:14" x14ac:dyDescent="0.2">
      <c r="A16" s="5"/>
      <c r="M16" s="6"/>
    </row>
    <row r="17" spans="1:13" x14ac:dyDescent="0.2">
      <c r="A17" s="5"/>
      <c r="M17" s="6"/>
    </row>
    <row r="18" spans="1:13" x14ac:dyDescent="0.2">
      <c r="A18" s="5"/>
      <c r="M18" s="6"/>
    </row>
    <row r="19" spans="1:13" x14ac:dyDescent="0.2">
      <c r="A19" s="5"/>
      <c r="M19" s="6"/>
    </row>
    <row r="20" spans="1:13" x14ac:dyDescent="0.2">
      <c r="A20" s="5"/>
      <c r="M20" s="6"/>
    </row>
    <row r="21" spans="1:13" x14ac:dyDescent="0.2">
      <c r="A21" s="5"/>
      <c r="M21" s="6"/>
    </row>
    <row r="22" spans="1:13" x14ac:dyDescent="0.2">
      <c r="A22" s="5"/>
      <c r="M22" s="6"/>
    </row>
    <row r="23" spans="1:13" x14ac:dyDescent="0.2">
      <c r="A23" s="5"/>
      <c r="M23" s="6"/>
    </row>
    <row r="24" spans="1:13" x14ac:dyDescent="0.2">
      <c r="A24" s="5"/>
      <c r="M24" s="6"/>
    </row>
    <row r="25" spans="1:13" x14ac:dyDescent="0.2">
      <c r="A25" s="5"/>
      <c r="M25" s="6"/>
    </row>
    <row r="26" spans="1:13" x14ac:dyDescent="0.2">
      <c r="A26" s="5"/>
      <c r="M26" s="6"/>
    </row>
    <row r="27" spans="1:13" x14ac:dyDescent="0.2">
      <c r="A27" s="5"/>
      <c r="M27" s="6"/>
    </row>
    <row r="28" spans="1:13" x14ac:dyDescent="0.2">
      <c r="A28" s="5"/>
      <c r="M28" s="6"/>
    </row>
    <row r="29" spans="1:13" x14ac:dyDescent="0.2">
      <c r="A29" s="5"/>
      <c r="M29" s="6"/>
    </row>
    <row r="30" spans="1:13" x14ac:dyDescent="0.2">
      <c r="A30" s="5"/>
      <c r="M30" s="6"/>
    </row>
    <row r="31" spans="1:13" x14ac:dyDescent="0.2">
      <c r="A31" s="5"/>
      <c r="M31" s="6"/>
    </row>
    <row r="32" spans="1:13" x14ac:dyDescent="0.2">
      <c r="A32" s="5"/>
      <c r="M32" s="6"/>
    </row>
    <row r="33" spans="1:13" x14ac:dyDescent="0.2">
      <c r="A33" s="5"/>
      <c r="M33" s="6"/>
    </row>
    <row r="34" spans="1:13" x14ac:dyDescent="0.2">
      <c r="A34" s="5"/>
      <c r="M34" s="6"/>
    </row>
    <row r="35" spans="1:13" ht="13.5" thickBot="1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</row>
  </sheetData>
  <mergeCells count="9">
    <mergeCell ref="I6:M6"/>
    <mergeCell ref="I7:M7"/>
    <mergeCell ref="A1:B3"/>
    <mergeCell ref="C1:J3"/>
    <mergeCell ref="K1:M3"/>
    <mergeCell ref="A4:B4"/>
    <mergeCell ref="I4:J4"/>
    <mergeCell ref="K4:M4"/>
    <mergeCell ref="C4:H4"/>
  </mergeCells>
  <phoneticPr fontId="0" type="noConversion"/>
  <conditionalFormatting sqref="B14:M14">
    <cfRule type="cellIs" dxfId="20" priority="1" stopIfTrue="1" operator="equal">
      <formula>0</formula>
    </cfRule>
    <cfRule type="cellIs" dxfId="19" priority="2" stopIfTrue="1" operator="lessThan">
      <formula>80</formula>
    </cfRule>
    <cfRule type="cellIs" dxfId="18" priority="3" stopIfTrue="1" operator="greaterThan">
      <formula>80</formula>
    </cfRule>
  </conditionalFormatting>
  <printOptions horizontalCentered="1" verticalCentered="1"/>
  <pageMargins left="0.47244094488188981" right="0.47244094488188981" top="0.89" bottom="0.78" header="0" footer="0"/>
  <pageSetup paperSize="9" scale="8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"/>
  <sheetViews>
    <sheetView showGridLines="0" zoomScale="80" zoomScaleNormal="80" workbookViewId="0">
      <pane ySplit="14" topLeftCell="A18" activePane="bottomLeft" state="frozen"/>
      <selection pane="bottomLeft" activeCell="J13" sqref="J13"/>
    </sheetView>
  </sheetViews>
  <sheetFormatPr baseColWidth="10" defaultColWidth="11.42578125" defaultRowHeight="12.75" x14ac:dyDescent="0.2"/>
  <cols>
    <col min="1" max="1" width="32.28515625" customWidth="1"/>
    <col min="2" max="13" width="10.7109375" customWidth="1"/>
  </cols>
  <sheetData>
    <row r="1" spans="1:13" s="23" customFormat="1" ht="20.100000000000001" customHeight="1" x14ac:dyDescent="0.25">
      <c r="A1" s="104"/>
      <c r="B1" s="105"/>
      <c r="C1" s="95" t="s">
        <v>0</v>
      </c>
      <c r="D1" s="96"/>
      <c r="E1" s="96"/>
      <c r="F1" s="96"/>
      <c r="G1" s="96"/>
      <c r="H1" s="96"/>
      <c r="I1" s="96"/>
      <c r="J1" s="97"/>
      <c r="K1" s="110" t="s">
        <v>1</v>
      </c>
      <c r="L1" s="111"/>
      <c r="M1" s="112"/>
    </row>
    <row r="2" spans="1:13" s="23" customFormat="1" ht="20.100000000000001" customHeight="1" x14ac:dyDescent="0.25">
      <c r="A2" s="106"/>
      <c r="B2" s="107"/>
      <c r="C2" s="98"/>
      <c r="D2" s="99"/>
      <c r="E2" s="99"/>
      <c r="F2" s="99"/>
      <c r="G2" s="99"/>
      <c r="H2" s="99"/>
      <c r="I2" s="99"/>
      <c r="J2" s="100"/>
      <c r="K2" s="113"/>
      <c r="L2" s="114"/>
      <c r="M2" s="115"/>
    </row>
    <row r="3" spans="1:13" s="23" customFormat="1" ht="20.100000000000001" customHeight="1" thickBot="1" x14ac:dyDescent="0.3">
      <c r="A3" s="108"/>
      <c r="B3" s="109"/>
      <c r="C3" s="101"/>
      <c r="D3" s="102"/>
      <c r="E3" s="102"/>
      <c r="F3" s="102"/>
      <c r="G3" s="102"/>
      <c r="H3" s="102"/>
      <c r="I3" s="102"/>
      <c r="J3" s="103"/>
      <c r="K3" s="116"/>
      <c r="L3" s="117"/>
      <c r="M3" s="118"/>
    </row>
    <row r="4" spans="1:13" s="23" customFormat="1" ht="20.100000000000001" customHeight="1" thickBot="1" x14ac:dyDescent="0.3">
      <c r="A4" s="131" t="s">
        <v>2</v>
      </c>
      <c r="B4" s="133"/>
      <c r="C4" s="131" t="s">
        <v>3</v>
      </c>
      <c r="D4" s="132"/>
      <c r="E4" s="132"/>
      <c r="F4" s="132"/>
      <c r="G4" s="132"/>
      <c r="H4" s="133"/>
      <c r="I4" s="129" t="s">
        <v>4</v>
      </c>
      <c r="J4" s="130"/>
      <c r="K4" s="119" t="s">
        <v>5</v>
      </c>
      <c r="L4" s="120"/>
      <c r="M4" s="121"/>
    </row>
    <row r="5" spans="1:13" ht="20.100000000000001" customHeight="1" x14ac:dyDescent="0.2">
      <c r="A5" s="5"/>
      <c r="M5" s="6"/>
    </row>
    <row r="6" spans="1:13" ht="20.100000000000001" customHeight="1" x14ac:dyDescent="0.3">
      <c r="A6" s="14" t="s">
        <v>43</v>
      </c>
      <c r="I6" s="125" t="s">
        <v>7</v>
      </c>
      <c r="J6" s="125"/>
      <c r="K6" s="125"/>
      <c r="L6" s="125"/>
      <c r="M6" s="134"/>
    </row>
    <row r="7" spans="1:13" ht="20.100000000000001" customHeight="1" x14ac:dyDescent="0.3">
      <c r="A7" s="11" t="s">
        <v>44</v>
      </c>
      <c r="I7" s="125" t="s">
        <v>74</v>
      </c>
      <c r="J7" s="125"/>
      <c r="K7" s="125"/>
      <c r="L7" s="125"/>
      <c r="M7" s="134"/>
    </row>
    <row r="8" spans="1:13" ht="20.100000000000001" customHeight="1" x14ac:dyDescent="0.2">
      <c r="M8" s="6"/>
    </row>
    <row r="9" spans="1:13" ht="8.25" customHeight="1" x14ac:dyDescent="0.2">
      <c r="A9" s="5"/>
      <c r="M9" s="6"/>
    </row>
    <row r="10" spans="1:13" ht="21.95" customHeight="1" x14ac:dyDescent="0.2">
      <c r="A10" s="5"/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  <c r="G10" s="1" t="s">
        <v>14</v>
      </c>
      <c r="H10" s="1" t="s">
        <v>15</v>
      </c>
      <c r="I10" s="1" t="s">
        <v>16</v>
      </c>
      <c r="J10" s="1" t="s">
        <v>17</v>
      </c>
      <c r="K10" s="1" t="s">
        <v>18</v>
      </c>
      <c r="L10" s="1" t="s">
        <v>19</v>
      </c>
      <c r="M10" s="12" t="s">
        <v>20</v>
      </c>
    </row>
    <row r="11" spans="1:13" ht="21.95" customHeight="1" x14ac:dyDescent="0.2">
      <c r="A11" s="15" t="s">
        <v>45</v>
      </c>
      <c r="B11" s="3">
        <v>15</v>
      </c>
      <c r="C11" s="19">
        <v>60</v>
      </c>
      <c r="D11" s="3">
        <v>75</v>
      </c>
      <c r="E11" s="3">
        <v>80</v>
      </c>
      <c r="F11" s="3">
        <v>80</v>
      </c>
      <c r="G11" s="3">
        <v>80</v>
      </c>
      <c r="H11" s="3">
        <v>70</v>
      </c>
      <c r="I11" s="19">
        <v>70</v>
      </c>
      <c r="J11" s="19">
        <v>65</v>
      </c>
      <c r="K11" s="19"/>
      <c r="L11" s="19"/>
      <c r="M11" s="20"/>
    </row>
    <row r="12" spans="1:13" ht="21.95" customHeight="1" x14ac:dyDescent="0.2">
      <c r="A12" s="15" t="s">
        <v>46</v>
      </c>
      <c r="B12" s="3">
        <v>15</v>
      </c>
      <c r="C12" s="3">
        <v>58</v>
      </c>
      <c r="D12" s="3">
        <v>63</v>
      </c>
      <c r="E12" s="3">
        <v>76</v>
      </c>
      <c r="F12" s="3">
        <v>78</v>
      </c>
      <c r="G12" s="3">
        <v>76</v>
      </c>
      <c r="H12" s="3">
        <v>65</v>
      </c>
      <c r="I12" s="19">
        <v>67</v>
      </c>
      <c r="J12" s="19">
        <v>60</v>
      </c>
      <c r="K12" s="19"/>
      <c r="L12" s="19"/>
      <c r="M12" s="20"/>
    </row>
    <row r="13" spans="1:13" ht="8.25" customHeight="1" x14ac:dyDescent="0.2">
      <c r="A13" s="5"/>
      <c r="M13" s="6"/>
    </row>
    <row r="14" spans="1:13" ht="21.95" customHeight="1" x14ac:dyDescent="0.2">
      <c r="A14" s="13" t="s">
        <v>47</v>
      </c>
      <c r="B14" s="35">
        <f t="shared" ref="B14:M14" si="0">(B12*100)/B11</f>
        <v>100</v>
      </c>
      <c r="C14" s="35">
        <f t="shared" si="0"/>
        <v>96.666666666666671</v>
      </c>
      <c r="D14" s="35">
        <f t="shared" si="0"/>
        <v>84</v>
      </c>
      <c r="E14" s="35">
        <f t="shared" si="0"/>
        <v>95</v>
      </c>
      <c r="F14" s="35">
        <f t="shared" si="0"/>
        <v>97.5</v>
      </c>
      <c r="G14" s="35">
        <f t="shared" si="0"/>
        <v>95</v>
      </c>
      <c r="H14" s="35">
        <f t="shared" si="0"/>
        <v>92.857142857142861</v>
      </c>
      <c r="I14" s="35">
        <f t="shared" si="0"/>
        <v>95.714285714285708</v>
      </c>
      <c r="J14" s="35">
        <f t="shared" si="0"/>
        <v>92.307692307692307</v>
      </c>
      <c r="K14" s="35" t="e">
        <f t="shared" si="0"/>
        <v>#DIV/0!</v>
      </c>
      <c r="L14" s="35" t="e">
        <f t="shared" si="0"/>
        <v>#DIV/0!</v>
      </c>
      <c r="M14" s="57" t="e">
        <f t="shared" si="0"/>
        <v>#DIV/0!</v>
      </c>
    </row>
    <row r="15" spans="1:13" x14ac:dyDescent="0.2">
      <c r="A15" s="5"/>
      <c r="B15" s="17"/>
      <c r="C15" s="17"/>
      <c r="D15" s="17"/>
      <c r="E15" s="17"/>
      <c r="F15" s="17"/>
      <c r="G15" s="17"/>
      <c r="H15" s="17"/>
      <c r="I15" s="18"/>
      <c r="J15" s="18"/>
      <c r="K15" s="18"/>
      <c r="M15" s="6"/>
    </row>
    <row r="16" spans="1:13" x14ac:dyDescent="0.2">
      <c r="A16" s="5"/>
      <c r="B16" s="18"/>
      <c r="C16" s="18"/>
      <c r="D16" s="18"/>
      <c r="E16" s="18"/>
      <c r="F16" s="18"/>
      <c r="G16" s="18"/>
      <c r="H16" s="18"/>
      <c r="I16" s="18"/>
      <c r="J16" s="18"/>
      <c r="K16" s="18"/>
      <c r="M16" s="6"/>
    </row>
    <row r="17" spans="1:13" x14ac:dyDescent="0.2">
      <c r="A17" s="5"/>
      <c r="M17" s="6"/>
    </row>
    <row r="18" spans="1:13" x14ac:dyDescent="0.2">
      <c r="A18" s="5"/>
      <c r="M18" s="6"/>
    </row>
    <row r="19" spans="1:13" x14ac:dyDescent="0.2">
      <c r="A19" s="5"/>
      <c r="M19" s="6"/>
    </row>
    <row r="20" spans="1:13" x14ac:dyDescent="0.2">
      <c r="A20" s="5"/>
      <c r="M20" s="6"/>
    </row>
    <row r="21" spans="1:13" x14ac:dyDescent="0.2">
      <c r="A21" s="5"/>
      <c r="M21" s="6"/>
    </row>
    <row r="22" spans="1:13" x14ac:dyDescent="0.2">
      <c r="A22" s="5"/>
      <c r="M22" s="6"/>
    </row>
    <row r="23" spans="1:13" x14ac:dyDescent="0.2">
      <c r="A23" s="5"/>
      <c r="M23" s="6"/>
    </row>
    <row r="24" spans="1:13" x14ac:dyDescent="0.2">
      <c r="A24" s="5"/>
      <c r="M24" s="6"/>
    </row>
    <row r="25" spans="1:13" x14ac:dyDescent="0.2">
      <c r="A25" s="5"/>
      <c r="M25" s="6"/>
    </row>
    <row r="26" spans="1:13" x14ac:dyDescent="0.2">
      <c r="A26" s="5"/>
      <c r="M26" s="6"/>
    </row>
    <row r="27" spans="1:13" x14ac:dyDescent="0.2">
      <c r="A27" s="5"/>
      <c r="M27" s="6"/>
    </row>
    <row r="28" spans="1:13" x14ac:dyDescent="0.2">
      <c r="A28" s="5"/>
      <c r="M28" s="6"/>
    </row>
    <row r="29" spans="1:13" x14ac:dyDescent="0.2">
      <c r="A29" s="5"/>
      <c r="M29" s="6"/>
    </row>
    <row r="30" spans="1:13" x14ac:dyDescent="0.2">
      <c r="A30" s="5"/>
      <c r="M30" s="6"/>
    </row>
    <row r="31" spans="1:13" x14ac:dyDescent="0.2">
      <c r="A31" s="5"/>
      <c r="M31" s="6"/>
    </row>
    <row r="32" spans="1:13" x14ac:dyDescent="0.2">
      <c r="A32" s="5"/>
      <c r="M32" s="6"/>
    </row>
    <row r="33" spans="1:13" x14ac:dyDescent="0.2">
      <c r="A33" s="5"/>
      <c r="M33" s="6"/>
    </row>
    <row r="34" spans="1:13" x14ac:dyDescent="0.2">
      <c r="A34" s="5"/>
      <c r="M34" s="6"/>
    </row>
    <row r="35" spans="1:13" ht="13.5" thickBot="1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9"/>
    </row>
  </sheetData>
  <mergeCells count="9">
    <mergeCell ref="I4:J4"/>
    <mergeCell ref="K4:M4"/>
    <mergeCell ref="I6:M6"/>
    <mergeCell ref="I7:M7"/>
    <mergeCell ref="A1:B3"/>
    <mergeCell ref="C1:J3"/>
    <mergeCell ref="K1:M3"/>
    <mergeCell ref="A4:B4"/>
    <mergeCell ref="C4:H4"/>
  </mergeCells>
  <phoneticPr fontId="0" type="noConversion"/>
  <conditionalFormatting sqref="B14:M14">
    <cfRule type="cellIs" dxfId="17" priority="1" stopIfTrue="1" operator="equal">
      <formula>0</formula>
    </cfRule>
    <cfRule type="cellIs" dxfId="16" priority="2" stopIfTrue="1" operator="lessThan">
      <formula>80</formula>
    </cfRule>
    <cfRule type="cellIs" dxfId="15" priority="3" stopIfTrue="1" operator="greaterThan">
      <formula>80</formula>
    </cfRule>
  </conditionalFormatting>
  <printOptions horizontalCentered="1" verticalCentered="1"/>
  <pageMargins left="0.31496062992125984" right="0.35433070866141736" top="0.86614173228346458" bottom="0.70866141732283472" header="0" footer="0"/>
  <pageSetup paperSize="9" scale="8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4"/>
  <sheetViews>
    <sheetView showGridLines="0" zoomScale="80" zoomScaleNormal="80" workbookViewId="0">
      <pane ySplit="14" topLeftCell="A15" activePane="bottomLeft" state="frozen"/>
      <selection pane="bottomLeft" activeCell="J13" sqref="J13"/>
    </sheetView>
  </sheetViews>
  <sheetFormatPr baseColWidth="10" defaultColWidth="11.42578125" defaultRowHeight="12.75" x14ac:dyDescent="0.2"/>
  <cols>
    <col min="1" max="1" width="28.85546875" customWidth="1"/>
    <col min="2" max="13" width="10.7109375" customWidth="1"/>
  </cols>
  <sheetData>
    <row r="1" spans="1:13" s="23" customFormat="1" ht="20.100000000000001" customHeight="1" x14ac:dyDescent="0.25">
      <c r="A1" s="104"/>
      <c r="B1" s="105"/>
      <c r="C1" s="95" t="s">
        <v>0</v>
      </c>
      <c r="D1" s="96"/>
      <c r="E1" s="96"/>
      <c r="F1" s="96"/>
      <c r="G1" s="96"/>
      <c r="H1" s="96"/>
      <c r="I1" s="96"/>
      <c r="J1" s="97"/>
      <c r="K1" s="110" t="s">
        <v>1</v>
      </c>
      <c r="L1" s="111"/>
      <c r="M1" s="112"/>
    </row>
    <row r="2" spans="1:13" s="23" customFormat="1" ht="20.100000000000001" customHeight="1" x14ac:dyDescent="0.25">
      <c r="A2" s="106"/>
      <c r="B2" s="107"/>
      <c r="C2" s="98"/>
      <c r="D2" s="99"/>
      <c r="E2" s="99"/>
      <c r="F2" s="99"/>
      <c r="G2" s="99"/>
      <c r="H2" s="99"/>
      <c r="I2" s="99"/>
      <c r="J2" s="100"/>
      <c r="K2" s="113"/>
      <c r="L2" s="114"/>
      <c r="M2" s="115"/>
    </row>
    <row r="3" spans="1:13" s="23" customFormat="1" ht="20.100000000000001" customHeight="1" thickBot="1" x14ac:dyDescent="0.3">
      <c r="A3" s="108"/>
      <c r="B3" s="109"/>
      <c r="C3" s="101"/>
      <c r="D3" s="102"/>
      <c r="E3" s="102"/>
      <c r="F3" s="102"/>
      <c r="G3" s="102"/>
      <c r="H3" s="102"/>
      <c r="I3" s="102"/>
      <c r="J3" s="103"/>
      <c r="K3" s="116"/>
      <c r="L3" s="117"/>
      <c r="M3" s="118"/>
    </row>
    <row r="4" spans="1:13" s="23" customFormat="1" ht="20.100000000000001" customHeight="1" thickBot="1" x14ac:dyDescent="0.3">
      <c r="A4" s="131" t="s">
        <v>2</v>
      </c>
      <c r="B4" s="133"/>
      <c r="C4" s="131" t="s">
        <v>3</v>
      </c>
      <c r="D4" s="132"/>
      <c r="E4" s="132"/>
      <c r="F4" s="132"/>
      <c r="G4" s="132"/>
      <c r="H4" s="133"/>
      <c r="I4" s="129" t="s">
        <v>4</v>
      </c>
      <c r="J4" s="130"/>
      <c r="K4" s="119" t="s">
        <v>5</v>
      </c>
      <c r="L4" s="120"/>
      <c r="M4" s="121"/>
    </row>
    <row r="5" spans="1:13" ht="18.75" customHeight="1" x14ac:dyDescent="0.2">
      <c r="A5" s="58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</row>
    <row r="6" spans="1:13" ht="20.100000000000001" customHeight="1" x14ac:dyDescent="0.3">
      <c r="A6" s="14" t="s">
        <v>48</v>
      </c>
      <c r="I6" s="125" t="s">
        <v>7</v>
      </c>
      <c r="J6" s="125"/>
      <c r="K6" s="125"/>
      <c r="L6" s="125"/>
      <c r="M6" s="134"/>
    </row>
    <row r="7" spans="1:13" s="23" customFormat="1" ht="20.100000000000001" customHeight="1" x14ac:dyDescent="0.3">
      <c r="A7" s="27" t="s">
        <v>49</v>
      </c>
      <c r="I7" s="125" t="s">
        <v>74</v>
      </c>
      <c r="J7" s="125"/>
      <c r="K7" s="125"/>
      <c r="L7" s="125"/>
      <c r="M7" s="134"/>
    </row>
    <row r="8" spans="1:13" s="23" customFormat="1" ht="20.100000000000001" customHeight="1" x14ac:dyDescent="0.25">
      <c r="M8" s="25"/>
    </row>
    <row r="9" spans="1:13" s="23" customFormat="1" ht="8.25" customHeight="1" x14ac:dyDescent="0.25">
      <c r="A9" s="24"/>
      <c r="M9" s="25"/>
    </row>
    <row r="10" spans="1:13" s="23" customFormat="1" ht="20.100000000000001" customHeight="1" x14ac:dyDescent="0.25">
      <c r="A10" s="24"/>
      <c r="B10" s="28" t="s">
        <v>9</v>
      </c>
      <c r="C10" s="28" t="s">
        <v>10</v>
      </c>
      <c r="D10" s="28" t="s">
        <v>11</v>
      </c>
      <c r="E10" s="28" t="s">
        <v>12</v>
      </c>
      <c r="F10" s="28" t="s">
        <v>13</v>
      </c>
      <c r="G10" s="28" t="s">
        <v>14</v>
      </c>
      <c r="H10" s="28" t="s">
        <v>15</v>
      </c>
      <c r="I10" s="28" t="s">
        <v>16</v>
      </c>
      <c r="J10" s="28" t="s">
        <v>17</v>
      </c>
      <c r="K10" s="28" t="s">
        <v>18</v>
      </c>
      <c r="L10" s="28" t="s">
        <v>19</v>
      </c>
      <c r="M10" s="29" t="s">
        <v>20</v>
      </c>
    </row>
    <row r="11" spans="1:13" s="23" customFormat="1" ht="20.100000000000001" customHeight="1" x14ac:dyDescent="0.25">
      <c r="A11" s="30" t="s">
        <v>50</v>
      </c>
      <c r="B11" s="31">
        <v>8</v>
      </c>
      <c r="C11" s="31">
        <v>10</v>
      </c>
      <c r="D11" s="31">
        <v>5</v>
      </c>
      <c r="E11" s="31">
        <v>4</v>
      </c>
      <c r="F11" s="31">
        <v>4</v>
      </c>
      <c r="G11" s="31">
        <v>4</v>
      </c>
      <c r="H11" s="31">
        <v>4</v>
      </c>
      <c r="I11" s="31">
        <v>3</v>
      </c>
      <c r="J11" s="31">
        <v>2</v>
      </c>
      <c r="K11" s="31"/>
      <c r="L11" s="31"/>
      <c r="M11" s="32"/>
    </row>
    <row r="12" spans="1:13" s="23" customFormat="1" ht="20.100000000000001" customHeight="1" x14ac:dyDescent="0.25">
      <c r="A12" s="30" t="s">
        <v>51</v>
      </c>
      <c r="B12" s="31">
        <v>8</v>
      </c>
      <c r="C12" s="31">
        <v>10</v>
      </c>
      <c r="D12" s="31">
        <v>5</v>
      </c>
      <c r="E12" s="31">
        <v>4</v>
      </c>
      <c r="F12" s="31">
        <v>4</v>
      </c>
      <c r="G12" s="31">
        <v>4</v>
      </c>
      <c r="H12" s="31">
        <v>4</v>
      </c>
      <c r="I12" s="31">
        <v>3</v>
      </c>
      <c r="J12" s="31">
        <v>2</v>
      </c>
      <c r="K12" s="31"/>
      <c r="L12" s="31"/>
      <c r="M12" s="32"/>
    </row>
    <row r="13" spans="1:13" s="23" customFormat="1" ht="7.5" customHeight="1" x14ac:dyDescent="0.25">
      <c r="A13" s="24"/>
      <c r="M13" s="25"/>
    </row>
    <row r="14" spans="1:13" s="23" customFormat="1" ht="20.100000000000001" customHeight="1" x14ac:dyDescent="0.25">
      <c r="A14" s="34" t="s">
        <v>52</v>
      </c>
      <c r="B14" s="35">
        <f t="shared" ref="B14:M14" si="0">(B12/B11)*100</f>
        <v>100</v>
      </c>
      <c r="C14" s="35">
        <f t="shared" si="0"/>
        <v>100</v>
      </c>
      <c r="D14" s="35">
        <f t="shared" si="0"/>
        <v>100</v>
      </c>
      <c r="E14" s="35">
        <f t="shared" si="0"/>
        <v>100</v>
      </c>
      <c r="F14" s="35">
        <f t="shared" si="0"/>
        <v>100</v>
      </c>
      <c r="G14" s="35">
        <f t="shared" si="0"/>
        <v>100</v>
      </c>
      <c r="H14" s="35">
        <f t="shared" si="0"/>
        <v>100</v>
      </c>
      <c r="I14" s="35">
        <f t="shared" si="0"/>
        <v>100</v>
      </c>
      <c r="J14" s="35">
        <f t="shared" si="0"/>
        <v>100</v>
      </c>
      <c r="K14" s="35" t="e">
        <f t="shared" si="0"/>
        <v>#DIV/0!</v>
      </c>
      <c r="L14" s="35" t="e">
        <f t="shared" si="0"/>
        <v>#DIV/0!</v>
      </c>
      <c r="M14" s="35" t="e">
        <f t="shared" si="0"/>
        <v>#DIV/0!</v>
      </c>
    </row>
    <row r="15" spans="1:13" s="23" customFormat="1" ht="13.5" x14ac:dyDescent="0.25">
      <c r="A15" s="24"/>
      <c r="M15" s="25"/>
    </row>
    <row r="16" spans="1:13" x14ac:dyDescent="0.2">
      <c r="A16" s="5"/>
      <c r="M16" s="6"/>
    </row>
    <row r="17" spans="1:13" x14ac:dyDescent="0.2">
      <c r="A17" s="5"/>
      <c r="M17" s="6"/>
    </row>
    <row r="18" spans="1:13" x14ac:dyDescent="0.2">
      <c r="A18" s="5"/>
      <c r="M18" s="6"/>
    </row>
    <row r="19" spans="1:13" x14ac:dyDescent="0.2">
      <c r="A19" s="5"/>
      <c r="M19" s="6"/>
    </row>
    <row r="20" spans="1:13" x14ac:dyDescent="0.2">
      <c r="A20" s="5"/>
      <c r="M20" s="6"/>
    </row>
    <row r="21" spans="1:13" x14ac:dyDescent="0.2">
      <c r="A21" s="5"/>
      <c r="M21" s="6"/>
    </row>
    <row r="22" spans="1:13" x14ac:dyDescent="0.2">
      <c r="A22" s="5"/>
      <c r="M22" s="6"/>
    </row>
    <row r="23" spans="1:13" x14ac:dyDescent="0.2">
      <c r="A23" s="5"/>
      <c r="M23" s="6"/>
    </row>
    <row r="24" spans="1:13" x14ac:dyDescent="0.2">
      <c r="A24" s="5"/>
      <c r="M24" s="6"/>
    </row>
    <row r="25" spans="1:13" x14ac:dyDescent="0.2">
      <c r="A25" s="5"/>
      <c r="M25" s="6"/>
    </row>
    <row r="26" spans="1:13" x14ac:dyDescent="0.2">
      <c r="A26" s="5"/>
      <c r="M26" s="6"/>
    </row>
    <row r="27" spans="1:13" x14ac:dyDescent="0.2">
      <c r="A27" s="5"/>
      <c r="M27" s="6"/>
    </row>
    <row r="28" spans="1:13" x14ac:dyDescent="0.2">
      <c r="A28" s="5"/>
      <c r="M28" s="6"/>
    </row>
    <row r="29" spans="1:13" x14ac:dyDescent="0.2">
      <c r="A29" s="5"/>
      <c r="M29" s="6"/>
    </row>
    <row r="30" spans="1:13" x14ac:dyDescent="0.2">
      <c r="A30" s="5"/>
      <c r="M30" s="6"/>
    </row>
    <row r="31" spans="1:13" x14ac:dyDescent="0.2">
      <c r="A31" s="5"/>
      <c r="M31" s="6"/>
    </row>
    <row r="32" spans="1:13" x14ac:dyDescent="0.2">
      <c r="A32" s="5"/>
      <c r="M32" s="6"/>
    </row>
    <row r="33" spans="1:13" x14ac:dyDescent="0.2">
      <c r="A33" s="5"/>
      <c r="M33" s="6"/>
    </row>
    <row r="34" spans="1:13" ht="13.5" thickBot="1" x14ac:dyDescent="0.25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9"/>
    </row>
  </sheetData>
  <mergeCells count="9">
    <mergeCell ref="I6:M6"/>
    <mergeCell ref="I7:M7"/>
    <mergeCell ref="A1:B3"/>
    <mergeCell ref="C1:J3"/>
    <mergeCell ref="K1:M3"/>
    <mergeCell ref="A4:B4"/>
    <mergeCell ref="I4:J4"/>
    <mergeCell ref="K4:M4"/>
    <mergeCell ref="C4:H4"/>
  </mergeCells>
  <phoneticPr fontId="0" type="noConversion"/>
  <conditionalFormatting sqref="B14:M14">
    <cfRule type="cellIs" dxfId="14" priority="1" stopIfTrue="1" operator="equal">
      <formula>0</formula>
    </cfRule>
    <cfRule type="cellIs" dxfId="13" priority="2" stopIfTrue="1" operator="lessThan">
      <formula>80</formula>
    </cfRule>
    <cfRule type="cellIs" dxfId="12" priority="3" stopIfTrue="1" operator="greaterThan">
      <formula>80</formula>
    </cfRule>
  </conditionalFormatting>
  <printOptions horizontalCentered="1" verticalCentered="1"/>
  <pageMargins left="0.74803149606299213" right="0.74803149606299213" top="0.98425196850393704" bottom="0.98425196850393704" header="0" footer="0"/>
  <pageSetup scale="75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3"/>
  <sheetViews>
    <sheetView showGridLines="0" zoomScale="80" zoomScaleNormal="80" workbookViewId="0">
      <pane ySplit="13" topLeftCell="A14" activePane="bottomLeft" state="frozen"/>
      <selection pane="bottomLeft" activeCell="J13" sqref="J13"/>
    </sheetView>
  </sheetViews>
  <sheetFormatPr baseColWidth="10" defaultColWidth="11.42578125" defaultRowHeight="12.75" x14ac:dyDescent="0.2"/>
  <cols>
    <col min="1" max="1" width="41.42578125" customWidth="1"/>
    <col min="2" max="13" width="10.7109375" customWidth="1"/>
  </cols>
  <sheetData>
    <row r="1" spans="1:13" s="23" customFormat="1" ht="20.100000000000001" customHeight="1" x14ac:dyDescent="0.25">
      <c r="A1" s="104"/>
      <c r="B1" s="105"/>
      <c r="C1" s="95" t="s">
        <v>0</v>
      </c>
      <c r="D1" s="96"/>
      <c r="E1" s="96"/>
      <c r="F1" s="96"/>
      <c r="G1" s="96"/>
      <c r="H1" s="96"/>
      <c r="I1" s="96"/>
      <c r="J1" s="97"/>
      <c r="K1" s="110" t="s">
        <v>1</v>
      </c>
      <c r="L1" s="111"/>
      <c r="M1" s="112"/>
    </row>
    <row r="2" spans="1:13" s="23" customFormat="1" ht="20.100000000000001" customHeight="1" x14ac:dyDescent="0.25">
      <c r="A2" s="106"/>
      <c r="B2" s="107"/>
      <c r="C2" s="98"/>
      <c r="D2" s="99"/>
      <c r="E2" s="99"/>
      <c r="F2" s="99"/>
      <c r="G2" s="99"/>
      <c r="H2" s="99"/>
      <c r="I2" s="99"/>
      <c r="J2" s="100"/>
      <c r="K2" s="113"/>
      <c r="L2" s="114"/>
      <c r="M2" s="115"/>
    </row>
    <row r="3" spans="1:13" s="23" customFormat="1" ht="20.100000000000001" customHeight="1" thickBot="1" x14ac:dyDescent="0.3">
      <c r="A3" s="108"/>
      <c r="B3" s="109"/>
      <c r="C3" s="101"/>
      <c r="D3" s="102"/>
      <c r="E3" s="102"/>
      <c r="F3" s="102"/>
      <c r="G3" s="102"/>
      <c r="H3" s="102"/>
      <c r="I3" s="102"/>
      <c r="J3" s="103"/>
      <c r="K3" s="116"/>
      <c r="L3" s="117"/>
      <c r="M3" s="118"/>
    </row>
    <row r="4" spans="1:13" s="23" customFormat="1" ht="20.100000000000001" customHeight="1" thickBot="1" x14ac:dyDescent="0.3">
      <c r="A4" s="131" t="s">
        <v>2</v>
      </c>
      <c r="B4" s="133"/>
      <c r="C4" s="131" t="s">
        <v>3</v>
      </c>
      <c r="D4" s="132"/>
      <c r="E4" s="132"/>
      <c r="F4" s="132"/>
      <c r="G4" s="132"/>
      <c r="H4" s="133"/>
      <c r="I4" s="129" t="s">
        <v>4</v>
      </c>
      <c r="J4" s="130"/>
      <c r="K4" s="119" t="s">
        <v>5</v>
      </c>
      <c r="L4" s="120"/>
      <c r="M4" s="121"/>
    </row>
    <row r="5" spans="1:13" s="23" customFormat="1" ht="20.100000000000001" customHeight="1" x14ac:dyDescent="0.25">
      <c r="A5" s="56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1"/>
    </row>
    <row r="6" spans="1:13" s="23" customFormat="1" ht="20.100000000000001" customHeight="1" x14ac:dyDescent="0.3">
      <c r="A6" s="26" t="s">
        <v>53</v>
      </c>
      <c r="I6" s="125" t="s">
        <v>7</v>
      </c>
      <c r="J6" s="125"/>
      <c r="K6" s="125"/>
      <c r="L6" s="125"/>
      <c r="M6" s="134"/>
    </row>
    <row r="7" spans="1:13" s="23" customFormat="1" ht="20.100000000000001" customHeight="1" x14ac:dyDescent="0.3">
      <c r="A7" s="27" t="s">
        <v>54</v>
      </c>
      <c r="I7" s="125" t="s">
        <v>74</v>
      </c>
      <c r="J7" s="125"/>
      <c r="K7" s="125"/>
      <c r="L7" s="125"/>
      <c r="M7" s="134"/>
    </row>
    <row r="8" spans="1:13" s="23" customFormat="1" ht="20.100000000000001" customHeight="1" x14ac:dyDescent="0.25">
      <c r="M8" s="25"/>
    </row>
    <row r="9" spans="1:13" s="23" customFormat="1" ht="8.25" customHeight="1" x14ac:dyDescent="0.25">
      <c r="A9" s="24"/>
      <c r="M9" s="25"/>
    </row>
    <row r="10" spans="1:13" s="23" customFormat="1" ht="20.100000000000001" customHeight="1" x14ac:dyDescent="0.25">
      <c r="A10" s="24"/>
      <c r="B10" s="28" t="s">
        <v>9</v>
      </c>
      <c r="C10" s="28" t="s">
        <v>10</v>
      </c>
      <c r="D10" s="28" t="s">
        <v>11</v>
      </c>
      <c r="E10" s="28" t="s">
        <v>12</v>
      </c>
      <c r="F10" s="28" t="s">
        <v>13</v>
      </c>
      <c r="G10" s="28" t="s">
        <v>14</v>
      </c>
      <c r="H10" s="28" t="s">
        <v>15</v>
      </c>
      <c r="I10" s="28" t="s">
        <v>16</v>
      </c>
      <c r="J10" s="28" t="s">
        <v>17</v>
      </c>
      <c r="K10" s="28" t="s">
        <v>18</v>
      </c>
      <c r="L10" s="28" t="s">
        <v>19</v>
      </c>
      <c r="M10" s="29" t="s">
        <v>20</v>
      </c>
    </row>
    <row r="11" spans="1:13" s="23" customFormat="1" ht="24.75" customHeight="1" x14ac:dyDescent="0.25">
      <c r="A11" s="72" t="s">
        <v>55</v>
      </c>
      <c r="B11" s="31">
        <v>4</v>
      </c>
      <c r="C11" s="31">
        <v>6</v>
      </c>
      <c r="D11" s="31">
        <v>5</v>
      </c>
      <c r="E11" s="31">
        <v>9</v>
      </c>
      <c r="F11" s="31">
        <v>8</v>
      </c>
      <c r="G11" s="31">
        <v>8</v>
      </c>
      <c r="H11" s="31">
        <v>6</v>
      </c>
      <c r="I11" s="31">
        <v>7</v>
      </c>
      <c r="J11" s="31">
        <v>6</v>
      </c>
      <c r="K11" s="31"/>
      <c r="L11" s="31"/>
      <c r="M11" s="32"/>
    </row>
    <row r="12" spans="1:13" s="23" customFormat="1" ht="23.25" customHeight="1" x14ac:dyDescent="0.25">
      <c r="A12" s="71" t="s">
        <v>56</v>
      </c>
      <c r="B12" s="31">
        <v>4</v>
      </c>
      <c r="C12" s="31">
        <v>5</v>
      </c>
      <c r="D12" s="31">
        <v>5</v>
      </c>
      <c r="E12" s="31">
        <v>8</v>
      </c>
      <c r="F12" s="31">
        <v>8</v>
      </c>
      <c r="G12" s="31">
        <v>7</v>
      </c>
      <c r="H12" s="31">
        <v>5</v>
      </c>
      <c r="I12" s="31">
        <v>6</v>
      </c>
      <c r="J12" s="31">
        <v>5</v>
      </c>
      <c r="K12" s="31"/>
      <c r="L12" s="31"/>
      <c r="M12" s="32"/>
    </row>
    <row r="13" spans="1:13" s="23" customFormat="1" ht="20.100000000000001" customHeight="1" x14ac:dyDescent="0.25">
      <c r="A13" s="34" t="s">
        <v>57</v>
      </c>
      <c r="B13" s="35">
        <f t="shared" ref="B13:M13" si="0">(B12*100)/B11</f>
        <v>100</v>
      </c>
      <c r="C13" s="35">
        <f t="shared" si="0"/>
        <v>83.333333333333329</v>
      </c>
      <c r="D13" s="35">
        <f t="shared" si="0"/>
        <v>100</v>
      </c>
      <c r="E13" s="35">
        <f t="shared" si="0"/>
        <v>88.888888888888886</v>
      </c>
      <c r="F13" s="35">
        <f t="shared" si="0"/>
        <v>100</v>
      </c>
      <c r="G13" s="35">
        <f t="shared" si="0"/>
        <v>87.5</v>
      </c>
      <c r="H13" s="35">
        <f t="shared" si="0"/>
        <v>83.333333333333329</v>
      </c>
      <c r="I13" s="35">
        <f t="shared" si="0"/>
        <v>85.714285714285708</v>
      </c>
      <c r="J13" s="35">
        <f t="shared" si="0"/>
        <v>83.333333333333329</v>
      </c>
      <c r="K13" s="35" t="e">
        <f t="shared" si="0"/>
        <v>#DIV/0!</v>
      </c>
      <c r="L13" s="35" t="e">
        <f t="shared" si="0"/>
        <v>#DIV/0!</v>
      </c>
      <c r="M13" s="57" t="e">
        <f t="shared" si="0"/>
        <v>#DIV/0!</v>
      </c>
    </row>
    <row r="14" spans="1:13" s="23" customFormat="1" ht="13.5" x14ac:dyDescent="0.25">
      <c r="A14" s="24"/>
      <c r="M14" s="25"/>
    </row>
    <row r="15" spans="1:13" s="23" customFormat="1" ht="13.5" x14ac:dyDescent="0.25">
      <c r="A15" s="24"/>
      <c r="M15" s="25"/>
    </row>
    <row r="16" spans="1:13" s="23" customFormat="1" ht="13.5" x14ac:dyDescent="0.25">
      <c r="A16" s="24"/>
      <c r="M16" s="25"/>
    </row>
    <row r="17" spans="1:13" x14ac:dyDescent="0.2">
      <c r="A17" s="5"/>
      <c r="M17" s="6"/>
    </row>
    <row r="18" spans="1:13" x14ac:dyDescent="0.2">
      <c r="A18" s="5"/>
      <c r="M18" s="6"/>
    </row>
    <row r="19" spans="1:13" x14ac:dyDescent="0.2">
      <c r="A19" s="5"/>
      <c r="M19" s="6"/>
    </row>
    <row r="20" spans="1:13" x14ac:dyDescent="0.2">
      <c r="A20" s="5"/>
      <c r="M20" s="6"/>
    </row>
    <row r="21" spans="1:13" x14ac:dyDescent="0.2">
      <c r="A21" s="5"/>
      <c r="M21" s="6"/>
    </row>
    <row r="22" spans="1:13" x14ac:dyDescent="0.2">
      <c r="A22" s="5"/>
      <c r="M22" s="6"/>
    </row>
    <row r="23" spans="1:13" x14ac:dyDescent="0.2">
      <c r="A23" s="5"/>
      <c r="M23" s="6"/>
    </row>
    <row r="24" spans="1:13" x14ac:dyDescent="0.2">
      <c r="A24" s="5"/>
      <c r="M24" s="6"/>
    </row>
    <row r="25" spans="1:13" x14ac:dyDescent="0.2">
      <c r="A25" s="5"/>
      <c r="M25" s="6"/>
    </row>
    <row r="26" spans="1:13" x14ac:dyDescent="0.2">
      <c r="A26" s="5"/>
      <c r="M26" s="6"/>
    </row>
    <row r="27" spans="1:13" x14ac:dyDescent="0.2">
      <c r="A27" s="5"/>
      <c r="M27" s="6"/>
    </row>
    <row r="28" spans="1:13" x14ac:dyDescent="0.2">
      <c r="A28" s="5"/>
      <c r="M28" s="6"/>
    </row>
    <row r="29" spans="1:13" x14ac:dyDescent="0.2">
      <c r="A29" s="5"/>
      <c r="M29" s="6"/>
    </row>
    <row r="30" spans="1:13" x14ac:dyDescent="0.2">
      <c r="A30" s="5"/>
      <c r="M30" s="6"/>
    </row>
    <row r="31" spans="1:13" x14ac:dyDescent="0.2">
      <c r="A31" s="5"/>
      <c r="M31" s="6"/>
    </row>
    <row r="32" spans="1:13" x14ac:dyDescent="0.2">
      <c r="A32" s="5"/>
      <c r="M32" s="6"/>
    </row>
    <row r="33" spans="1:13" ht="13.5" thickBot="1" x14ac:dyDescent="0.25">
      <c r="A33" s="7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9"/>
    </row>
    <row r="36" spans="1:13" s="93" customFormat="1" ht="30.75" customHeight="1" x14ac:dyDescent="0.2">
      <c r="B36" s="94"/>
      <c r="D36" s="94"/>
      <c r="F36" s="94"/>
      <c r="H36" s="94"/>
      <c r="J36" s="94"/>
      <c r="L36" s="94"/>
    </row>
    <row r="37" spans="1:13" x14ac:dyDescent="0.2">
      <c r="B37" s="92"/>
      <c r="D37" s="92"/>
      <c r="F37" s="92"/>
      <c r="H37" s="92"/>
      <c r="J37" s="92"/>
      <c r="L37" s="92"/>
    </row>
    <row r="38" spans="1:13" x14ac:dyDescent="0.2">
      <c r="B38" s="92"/>
      <c r="D38" s="92"/>
      <c r="F38" s="92"/>
      <c r="H38" s="92"/>
      <c r="J38" s="92"/>
    </row>
    <row r="39" spans="1:13" x14ac:dyDescent="0.2">
      <c r="B39" s="92"/>
      <c r="F39" s="92"/>
      <c r="H39" s="92"/>
    </row>
    <row r="40" spans="1:13" x14ac:dyDescent="0.2">
      <c r="B40" s="92"/>
      <c r="F40" s="92"/>
      <c r="H40" s="92"/>
    </row>
    <row r="41" spans="1:13" x14ac:dyDescent="0.2">
      <c r="B41" s="92"/>
      <c r="F41" s="92"/>
    </row>
    <row r="42" spans="1:13" x14ac:dyDescent="0.2">
      <c r="F42" s="92"/>
    </row>
    <row r="43" spans="1:13" x14ac:dyDescent="0.2">
      <c r="F43" s="92"/>
    </row>
  </sheetData>
  <mergeCells count="9">
    <mergeCell ref="I6:M6"/>
    <mergeCell ref="I7:M7"/>
    <mergeCell ref="A1:B3"/>
    <mergeCell ref="C1:J3"/>
    <mergeCell ref="K1:M3"/>
    <mergeCell ref="A4:B4"/>
    <mergeCell ref="I4:J4"/>
    <mergeCell ref="K4:M4"/>
    <mergeCell ref="C4:H4"/>
  </mergeCells>
  <phoneticPr fontId="0" type="noConversion"/>
  <conditionalFormatting sqref="B13:M13">
    <cfRule type="cellIs" dxfId="11" priority="1" stopIfTrue="1" operator="equal">
      <formula>0</formula>
    </cfRule>
    <cfRule type="cellIs" dxfId="10" priority="2" stopIfTrue="1" operator="lessThan">
      <formula>80</formula>
    </cfRule>
    <cfRule type="cellIs" dxfId="9" priority="3" stopIfTrue="1" operator="greaterThan">
      <formula>80</formula>
    </cfRule>
  </conditionalFormatting>
  <printOptions horizontalCentered="1" verticalCentered="1"/>
  <pageMargins left="0.74803149606299213" right="0.74803149606299213" top="0.98425196850393704" bottom="0.98425196850393704" header="0" footer="0"/>
  <pageSetup paperSize="9" scale="80" orientation="landscape" r:id="rId1"/>
  <headerFooter alignWithMargins="0"/>
  <ignoredErrors>
    <ignoredError sqref="B13" evalError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P68"/>
  <sheetViews>
    <sheetView showGridLines="0" tabSelected="1" view="pageBreakPreview" topLeftCell="B1" zoomScale="85" zoomScaleNormal="100" zoomScaleSheetLayoutView="85" workbookViewId="0">
      <pane xSplit="1" ySplit="8" topLeftCell="C9" activePane="bottomRight" state="frozen"/>
      <selection pane="topRight" activeCell="C1" sqref="C1"/>
      <selection pane="bottomLeft" activeCell="B8" sqref="B8"/>
      <selection pane="bottomRight" activeCell="H7" sqref="H7"/>
    </sheetView>
  </sheetViews>
  <sheetFormatPr baseColWidth="10" defaultColWidth="11.42578125" defaultRowHeight="15" outlineLevelRow="1" x14ac:dyDescent="0.25"/>
  <cols>
    <col min="1" max="1" width="4.28515625" hidden="1" customWidth="1"/>
    <col min="2" max="2" width="1.85546875" bestFit="1" customWidth="1"/>
    <col min="3" max="3" width="28.7109375" customWidth="1"/>
    <col min="4" max="15" width="10.7109375" customWidth="1"/>
    <col min="16" max="16" width="11.42578125" style="61"/>
    <col min="17" max="17" width="3.28515625" customWidth="1"/>
    <col min="18" max="18" width="4.7109375" customWidth="1"/>
  </cols>
  <sheetData>
    <row r="1" spans="2:16" ht="15.75" thickBot="1" x14ac:dyDescent="0.3"/>
    <row r="2" spans="2:16" ht="20.100000000000001" customHeight="1" x14ac:dyDescent="0.2">
      <c r="C2" s="104"/>
      <c r="D2" s="105"/>
      <c r="E2" s="105"/>
      <c r="F2" s="95" t="s">
        <v>0</v>
      </c>
      <c r="G2" s="96"/>
      <c r="H2" s="96"/>
      <c r="I2" s="96"/>
      <c r="J2" s="96"/>
      <c r="K2" s="96"/>
      <c r="L2" s="97"/>
      <c r="M2" s="110" t="s">
        <v>58</v>
      </c>
      <c r="N2" s="111"/>
      <c r="O2" s="111"/>
      <c r="P2" s="112"/>
    </row>
    <row r="3" spans="2:16" ht="20.100000000000001" customHeight="1" x14ac:dyDescent="0.2">
      <c r="C3" s="106"/>
      <c r="D3" s="107"/>
      <c r="E3" s="107"/>
      <c r="F3" s="98"/>
      <c r="G3" s="99"/>
      <c r="H3" s="99"/>
      <c r="I3" s="99"/>
      <c r="J3" s="99"/>
      <c r="K3" s="99"/>
      <c r="L3" s="100"/>
      <c r="M3" s="113"/>
      <c r="N3" s="114"/>
      <c r="O3" s="114"/>
      <c r="P3" s="115"/>
    </row>
    <row r="4" spans="2:16" ht="20.100000000000001" customHeight="1" thickBot="1" x14ac:dyDescent="0.25">
      <c r="C4" s="108"/>
      <c r="D4" s="109"/>
      <c r="E4" s="109"/>
      <c r="F4" s="101"/>
      <c r="G4" s="102"/>
      <c r="H4" s="102"/>
      <c r="I4" s="102"/>
      <c r="J4" s="102"/>
      <c r="K4" s="102"/>
      <c r="L4" s="103"/>
      <c r="M4" s="116"/>
      <c r="N4" s="117"/>
      <c r="O4" s="117"/>
      <c r="P4" s="118"/>
    </row>
    <row r="5" spans="2:16" ht="20.100000000000001" customHeight="1" thickBot="1" x14ac:dyDescent="0.25">
      <c r="C5" s="126" t="s">
        <v>2</v>
      </c>
      <c r="D5" s="127"/>
      <c r="E5" s="128"/>
      <c r="F5" s="131" t="s">
        <v>3</v>
      </c>
      <c r="G5" s="132"/>
      <c r="H5" s="132"/>
      <c r="I5" s="132"/>
      <c r="J5" s="133"/>
      <c r="K5" s="129" t="s">
        <v>4</v>
      </c>
      <c r="L5" s="130"/>
      <c r="M5" s="119" t="s">
        <v>59</v>
      </c>
      <c r="N5" s="120"/>
      <c r="O5" s="120"/>
      <c r="P5" s="121"/>
    </row>
    <row r="6" spans="2:16" ht="8.25" customHeight="1" x14ac:dyDescent="0.25">
      <c r="C6" s="58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59"/>
    </row>
    <row r="7" spans="2:16" s="23" customFormat="1" ht="20.100000000000001" customHeight="1" x14ac:dyDescent="0.3">
      <c r="C7" s="54" t="s">
        <v>75</v>
      </c>
      <c r="K7" s="125" t="s">
        <v>60</v>
      </c>
      <c r="L7" s="125"/>
      <c r="M7" s="125"/>
      <c r="N7" s="125"/>
      <c r="O7" s="125"/>
      <c r="P7" s="60"/>
    </row>
    <row r="8" spans="2:16" s="23" customFormat="1" ht="20.100000000000001" customHeight="1" x14ac:dyDescent="0.3">
      <c r="C8" s="125" t="s">
        <v>61</v>
      </c>
      <c r="D8" s="125"/>
      <c r="E8" s="125"/>
      <c r="F8" s="125"/>
      <c r="G8" s="125"/>
      <c r="K8" s="125" t="s">
        <v>76</v>
      </c>
      <c r="L8" s="125"/>
      <c r="M8" s="125"/>
      <c r="N8" s="125"/>
      <c r="O8" s="125"/>
      <c r="P8" s="60"/>
    </row>
    <row r="9" spans="2:16" s="23" customFormat="1" ht="7.5" customHeight="1" thickBot="1" x14ac:dyDescent="0.3">
      <c r="C9" s="24"/>
      <c r="P9" s="60"/>
    </row>
    <row r="10" spans="2:16" s="23" customFormat="1" ht="21.75" customHeight="1" thickBot="1" x14ac:dyDescent="0.3">
      <c r="C10" s="73" t="s">
        <v>62</v>
      </c>
      <c r="D10" s="74" t="s">
        <v>9</v>
      </c>
      <c r="E10" s="75" t="s">
        <v>10</v>
      </c>
      <c r="F10" s="75" t="s">
        <v>11</v>
      </c>
      <c r="G10" s="75" t="s">
        <v>12</v>
      </c>
      <c r="H10" s="75" t="s">
        <v>13</v>
      </c>
      <c r="I10" s="75" t="s">
        <v>14</v>
      </c>
      <c r="J10" s="75" t="s">
        <v>15</v>
      </c>
      <c r="K10" s="75" t="s">
        <v>16</v>
      </c>
      <c r="L10" s="75" t="s">
        <v>17</v>
      </c>
      <c r="M10" s="75" t="s">
        <v>18</v>
      </c>
      <c r="N10" s="75" t="s">
        <v>19</v>
      </c>
      <c r="O10" s="76" t="s">
        <v>20</v>
      </c>
      <c r="P10" s="77" t="s">
        <v>63</v>
      </c>
    </row>
    <row r="11" spans="2:16" s="23" customFormat="1" ht="21.75" customHeight="1" x14ac:dyDescent="0.25">
      <c r="B11" s="55"/>
      <c r="C11" s="42" t="s">
        <v>64</v>
      </c>
      <c r="D11" s="78">
        <f>ART!B15</f>
        <v>100</v>
      </c>
      <c r="E11" s="78">
        <f>ART!C15</f>
        <v>100</v>
      </c>
      <c r="F11" s="78">
        <f>ART!D15</f>
        <v>100</v>
      </c>
      <c r="G11" s="78">
        <f>ART!E15</f>
        <v>100</v>
      </c>
      <c r="H11" s="78">
        <f>ART!F15</f>
        <v>100</v>
      </c>
      <c r="I11" s="78">
        <f>ART!G15</f>
        <v>100</v>
      </c>
      <c r="J11" s="78">
        <f>ART!H15</f>
        <v>100</v>
      </c>
      <c r="K11" s="78">
        <f>ART!I15</f>
        <v>100</v>
      </c>
      <c r="L11" s="78">
        <f>ART!J15</f>
        <v>100</v>
      </c>
      <c r="M11" s="78" t="e">
        <f>ART!K15</f>
        <v>#DIV/0!</v>
      </c>
      <c r="N11" s="78" t="e">
        <f>ART!L15</f>
        <v>#DIV/0!</v>
      </c>
      <c r="O11" s="78" t="e">
        <f>ART!M15</f>
        <v>#DIV/0!</v>
      </c>
      <c r="P11" s="86">
        <f>AVERAGE(D11:H11)</f>
        <v>100</v>
      </c>
    </row>
    <row r="12" spans="2:16" s="23" customFormat="1" ht="21.75" customHeight="1" x14ac:dyDescent="0.25">
      <c r="B12" s="55"/>
      <c r="C12" s="30" t="s">
        <v>65</v>
      </c>
      <c r="D12" s="35">
        <f>OPAS!B16</f>
        <v>100</v>
      </c>
      <c r="E12" s="35">
        <f>OPAS!C16</f>
        <v>100</v>
      </c>
      <c r="F12" s="35">
        <f>OPAS!D16</f>
        <v>100</v>
      </c>
      <c r="G12" s="35">
        <f>OPAS!E16</f>
        <v>100</v>
      </c>
      <c r="H12" s="35">
        <f>OPAS!F16</f>
        <v>100</v>
      </c>
      <c r="I12" s="35">
        <f>OPAS!G16</f>
        <v>100</v>
      </c>
      <c r="J12" s="35">
        <f>OPAS!H16</f>
        <v>100</v>
      </c>
      <c r="K12" s="35">
        <f>OPAS!I16</f>
        <v>100</v>
      </c>
      <c r="L12" s="35">
        <f>OPAS!J16</f>
        <v>100</v>
      </c>
      <c r="M12" s="35" t="e">
        <f>OPAS!K16</f>
        <v>#DIV/0!</v>
      </c>
      <c r="N12" s="35" t="e">
        <f>OPAS!L16</f>
        <v>#DIV/0!</v>
      </c>
      <c r="O12" s="35" t="e">
        <f>OPAS!M16</f>
        <v>#DIV/0!</v>
      </c>
      <c r="P12" s="87">
        <f t="shared" ref="P12:P17" si="0">AVERAGE(G12:H12)</f>
        <v>100</v>
      </c>
    </row>
    <row r="13" spans="2:16" s="23" customFormat="1" ht="21.75" customHeight="1" x14ac:dyDescent="0.25">
      <c r="B13" s="55"/>
      <c r="C13" s="30" t="s">
        <v>66</v>
      </c>
      <c r="D13" s="35">
        <f>IDPS!B15</f>
        <v>93.684210526315795</v>
      </c>
      <c r="E13" s="35">
        <f>IDPS!C15</f>
        <v>94.736842105263165</v>
      </c>
      <c r="F13" s="35">
        <f>IDPS!D15</f>
        <v>92.631578947368425</v>
      </c>
      <c r="G13" s="35">
        <f>IDPS!E15</f>
        <v>82.10526315789474</v>
      </c>
      <c r="H13" s="35">
        <f>IDPS!F15</f>
        <v>84.21052631578948</v>
      </c>
      <c r="I13" s="35">
        <f>IDPS!G15</f>
        <v>85.263157894736835</v>
      </c>
      <c r="J13" s="35">
        <f>IDPS!H15</f>
        <v>94.736842105263165</v>
      </c>
      <c r="K13" s="35">
        <f>IDPS!I15</f>
        <v>94.736842105263165</v>
      </c>
      <c r="L13" s="35">
        <f>IDPS!J15</f>
        <v>96</v>
      </c>
      <c r="M13" s="35" t="e">
        <f>IDPS!K15</f>
        <v>#DIV/0!</v>
      </c>
      <c r="N13" s="35" t="e">
        <f>IDPS!L15</f>
        <v>#DIV/0!</v>
      </c>
      <c r="O13" s="35" t="e">
        <f>IDPS!M15</f>
        <v>#DIV/0!</v>
      </c>
      <c r="P13" s="87">
        <f t="shared" si="0"/>
        <v>83.15789473684211</v>
      </c>
    </row>
    <row r="14" spans="2:16" s="23" customFormat="1" ht="21.75" customHeight="1" x14ac:dyDescent="0.25">
      <c r="B14" s="55"/>
      <c r="C14" s="30" t="s">
        <v>67</v>
      </c>
      <c r="D14" s="35">
        <f>IDS!B14</f>
        <v>87.5</v>
      </c>
      <c r="E14" s="35">
        <f>IDS!C14</f>
        <v>100</v>
      </c>
      <c r="F14" s="35">
        <f>IDS!D14</f>
        <v>100</v>
      </c>
      <c r="G14" s="35">
        <f>IDS!E14</f>
        <v>83.333333333333343</v>
      </c>
      <c r="H14" s="35">
        <f>IDS!F14</f>
        <v>85.714285714285708</v>
      </c>
      <c r="I14" s="35">
        <f>IDS!G14</f>
        <v>83.333333333333343</v>
      </c>
      <c r="J14" s="35">
        <f>IDS!H14</f>
        <v>100</v>
      </c>
      <c r="K14" s="35">
        <f>IDS!I14</f>
        <v>100</v>
      </c>
      <c r="L14" s="35">
        <f>IDS!J14</f>
        <v>100</v>
      </c>
      <c r="M14" s="35" t="e">
        <f>IDS!K14</f>
        <v>#DIV/0!</v>
      </c>
      <c r="N14" s="35" t="e">
        <f>IDS!L14</f>
        <v>#DIV/0!</v>
      </c>
      <c r="O14" s="35" t="e">
        <f>IDS!M14</f>
        <v>#DIV/0!</v>
      </c>
      <c r="P14" s="87">
        <f t="shared" si="0"/>
        <v>84.523809523809518</v>
      </c>
    </row>
    <row r="15" spans="2:16" s="23" customFormat="1" ht="21.75" customHeight="1" x14ac:dyDescent="0.25">
      <c r="B15" s="55"/>
      <c r="C15" s="30" t="s">
        <v>68</v>
      </c>
      <c r="D15" s="35">
        <f>IENTS!B14</f>
        <v>100</v>
      </c>
      <c r="E15" s="35">
        <f>IENTS!C14</f>
        <v>96.666666666666671</v>
      </c>
      <c r="F15" s="35">
        <f>IENTS!D14</f>
        <v>84</v>
      </c>
      <c r="G15" s="35">
        <f>IENTS!E14</f>
        <v>95</v>
      </c>
      <c r="H15" s="35">
        <f>IENTS!F14</f>
        <v>97.5</v>
      </c>
      <c r="I15" s="35">
        <f>IENTS!G14</f>
        <v>95</v>
      </c>
      <c r="J15" s="35">
        <f>IENTS!H14</f>
        <v>92.857142857142861</v>
      </c>
      <c r="K15" s="35">
        <f>IENTS!I14</f>
        <v>95.714285714285708</v>
      </c>
      <c r="L15" s="35">
        <f>IENTS!J14</f>
        <v>92.307692307692307</v>
      </c>
      <c r="M15" s="35" t="e">
        <f>IENTS!K14</f>
        <v>#DIV/0!</v>
      </c>
      <c r="N15" s="35" t="e">
        <f>IENTS!L14</f>
        <v>#DIV/0!</v>
      </c>
      <c r="O15" s="35" t="e">
        <f>IENTS!M14</f>
        <v>#DIV/0!</v>
      </c>
      <c r="P15" s="87">
        <f t="shared" si="0"/>
        <v>96.25</v>
      </c>
    </row>
    <row r="16" spans="2:16" s="23" customFormat="1" ht="21.75" customHeight="1" x14ac:dyDescent="0.25">
      <c r="B16" s="55"/>
      <c r="C16" s="30" t="s">
        <v>69</v>
      </c>
      <c r="D16" s="35">
        <f>OSEA!B14</f>
        <v>100</v>
      </c>
      <c r="E16" s="35">
        <f>OSEA!C14</f>
        <v>100</v>
      </c>
      <c r="F16" s="35">
        <f>OSEA!D14</f>
        <v>100</v>
      </c>
      <c r="G16" s="35">
        <f>OSEA!E14</f>
        <v>100</v>
      </c>
      <c r="H16" s="35">
        <f>OSEA!F14</f>
        <v>100</v>
      </c>
      <c r="I16" s="35">
        <f>OSEA!G14</f>
        <v>100</v>
      </c>
      <c r="J16" s="35">
        <f>OSEA!H14</f>
        <v>100</v>
      </c>
      <c r="K16" s="35">
        <f>OSEA!I14</f>
        <v>100</v>
      </c>
      <c r="L16" s="35">
        <f>OSEA!J14</f>
        <v>100</v>
      </c>
      <c r="M16" s="35" t="e">
        <f>OSEA!K14</f>
        <v>#DIV/0!</v>
      </c>
      <c r="N16" s="35" t="e">
        <f>OSEA!L14</f>
        <v>#DIV/0!</v>
      </c>
      <c r="O16" s="35" t="e">
        <f>OSEA!M14</f>
        <v>#DIV/0!</v>
      </c>
      <c r="P16" s="87">
        <f t="shared" si="0"/>
        <v>100</v>
      </c>
    </row>
    <row r="17" spans="2:16" s="23" customFormat="1" ht="21.75" customHeight="1" thickBot="1" x14ac:dyDescent="0.3">
      <c r="B17" s="55"/>
      <c r="C17" s="79" t="s">
        <v>70</v>
      </c>
      <c r="D17" s="80">
        <f>ICAI!B13</f>
        <v>100</v>
      </c>
      <c r="E17" s="80">
        <f>ICAI!C13</f>
        <v>83.333333333333329</v>
      </c>
      <c r="F17" s="80">
        <f>ICAI!D13</f>
        <v>100</v>
      </c>
      <c r="G17" s="80">
        <f>ICAI!E13</f>
        <v>88.888888888888886</v>
      </c>
      <c r="H17" s="80">
        <f>ICAI!F13</f>
        <v>100</v>
      </c>
      <c r="I17" s="80">
        <f>ICAI!G13</f>
        <v>87.5</v>
      </c>
      <c r="J17" s="80">
        <f>ICAI!H13</f>
        <v>83.333333333333329</v>
      </c>
      <c r="K17" s="80">
        <f>ICAI!I13</f>
        <v>85.714285714285708</v>
      </c>
      <c r="L17" s="80">
        <f>ICAI!J13</f>
        <v>83.333333333333329</v>
      </c>
      <c r="M17" s="80" t="e">
        <f>ICAI!K13</f>
        <v>#DIV/0!</v>
      </c>
      <c r="N17" s="80" t="e">
        <f>ICAI!L13</f>
        <v>#DIV/0!</v>
      </c>
      <c r="O17" s="80" t="e">
        <f>ICAI!M13</f>
        <v>#DIV/0!</v>
      </c>
      <c r="P17" s="88">
        <f t="shared" si="0"/>
        <v>94.444444444444443</v>
      </c>
    </row>
    <row r="18" spans="2:16" s="23" customFormat="1" ht="15.75" customHeight="1" thickBot="1" x14ac:dyDescent="0.3">
      <c r="B18" s="55"/>
      <c r="C18" s="83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5"/>
    </row>
    <row r="19" spans="2:16" s="23" customFormat="1" ht="21.75" customHeight="1" outlineLevel="1" thickBot="1" x14ac:dyDescent="0.3">
      <c r="B19" s="55"/>
      <c r="C19" s="81" t="s">
        <v>71</v>
      </c>
      <c r="D19" s="82">
        <f t="shared" ref="D19:O19" si="1">((D11*5)+(D16*4)+(D12*3)+(D13*2)+(D17*4)+(D14*3)+D15)/22</f>
        <v>97.721291866028707</v>
      </c>
      <c r="E19" s="82">
        <f t="shared" si="1"/>
        <v>96.339712918660283</v>
      </c>
      <c r="F19" s="82">
        <f t="shared" si="1"/>
        <v>98.602870813397118</v>
      </c>
      <c r="G19" s="82">
        <f t="shared" si="1"/>
        <v>93.853003721424784</v>
      </c>
      <c r="H19" s="82">
        <f t="shared" si="1"/>
        <v>96.502904989747094</v>
      </c>
      <c r="I19" s="82">
        <f t="shared" si="1"/>
        <v>93.887559808612437</v>
      </c>
      <c r="J19" s="82">
        <f t="shared" si="1"/>
        <v>96.166552745500113</v>
      </c>
      <c r="K19" s="82">
        <f t="shared" si="1"/>
        <v>96.729323308270665</v>
      </c>
      <c r="L19" s="82">
        <f t="shared" si="1"/>
        <v>96.256410256410248</v>
      </c>
      <c r="M19" s="82" t="e">
        <f t="shared" si="1"/>
        <v>#DIV/0!</v>
      </c>
      <c r="N19" s="82" t="e">
        <f t="shared" si="1"/>
        <v>#DIV/0!</v>
      </c>
      <c r="O19" s="82" t="e">
        <f t="shared" si="1"/>
        <v>#DIV/0!</v>
      </c>
      <c r="P19" s="89">
        <f>AVERAGE(D19:J19)/100</f>
        <v>0.96153413837624357</v>
      </c>
    </row>
    <row r="20" spans="2:16" s="23" customFormat="1" ht="9" customHeight="1" thickBot="1" x14ac:dyDescent="0.3">
      <c r="B20" s="55"/>
      <c r="C20" s="122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</row>
    <row r="21" spans="2:16" s="23" customFormat="1" ht="21.75" hidden="1" customHeight="1" outlineLevel="1" thickBot="1" x14ac:dyDescent="0.3">
      <c r="B21" s="55" t="s">
        <v>72</v>
      </c>
      <c r="C21" s="62" t="s">
        <v>73</v>
      </c>
      <c r="D21" s="35">
        <f t="shared" ref="D21:O21" si="2">((D12*3)+(D13*2)+(D17*4)+(D14*3)+D15)/17</f>
        <v>73.521671826625393</v>
      </c>
      <c r="E21" s="35">
        <f t="shared" si="2"/>
        <v>71.733746130030966</v>
      </c>
      <c r="F21" s="35">
        <f t="shared" si="2"/>
        <v>74.662538699690401</v>
      </c>
      <c r="G21" s="35">
        <f t="shared" si="2"/>
        <v>68.515651874785007</v>
      </c>
      <c r="H21" s="35">
        <f t="shared" si="2"/>
        <v>71.944935869084475</v>
      </c>
      <c r="I21" s="35">
        <f t="shared" si="2"/>
        <v>68.560371517027875</v>
      </c>
      <c r="J21" s="35">
        <f t="shared" si="2"/>
        <v>71.509656494176625</v>
      </c>
      <c r="K21" s="35">
        <f t="shared" si="2"/>
        <v>72.237947810703233</v>
      </c>
      <c r="L21" s="35">
        <f t="shared" si="2"/>
        <v>71.625942684766216</v>
      </c>
      <c r="M21" s="35" t="e">
        <f t="shared" si="2"/>
        <v>#DIV/0!</v>
      </c>
      <c r="N21" s="35" t="e">
        <f t="shared" si="2"/>
        <v>#DIV/0!</v>
      </c>
      <c r="O21" s="35" t="e">
        <f t="shared" si="2"/>
        <v>#DIV/0!</v>
      </c>
      <c r="P21" s="35" t="e">
        <f t="shared" ref="P21" si="3">AVERAGE(G21:O21)</f>
        <v>#DIV/0!</v>
      </c>
    </row>
    <row r="22" spans="2:16" s="23" customFormat="1" collapsed="1" x14ac:dyDescent="0.25">
      <c r="C22" s="56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63"/>
    </row>
    <row r="23" spans="2:16" s="23" customFormat="1" x14ac:dyDescent="0.25">
      <c r="C23" s="24"/>
      <c r="P23" s="60"/>
    </row>
    <row r="24" spans="2:16" s="23" customFormat="1" x14ac:dyDescent="0.25">
      <c r="C24" s="24"/>
      <c r="P24" s="60"/>
    </row>
    <row r="25" spans="2:16" s="23" customFormat="1" x14ac:dyDescent="0.25">
      <c r="C25" s="24"/>
      <c r="P25" s="60"/>
    </row>
    <row r="26" spans="2:16" s="23" customFormat="1" x14ac:dyDescent="0.25">
      <c r="C26" s="24"/>
      <c r="P26" s="60"/>
    </row>
    <row r="27" spans="2:16" s="23" customFormat="1" x14ac:dyDescent="0.25">
      <c r="C27" s="24"/>
      <c r="P27" s="60"/>
    </row>
    <row r="28" spans="2:16" s="23" customFormat="1" x14ac:dyDescent="0.25">
      <c r="C28" s="24"/>
      <c r="P28" s="60"/>
    </row>
    <row r="29" spans="2:16" s="23" customFormat="1" x14ac:dyDescent="0.25">
      <c r="C29" s="24"/>
      <c r="P29" s="60"/>
    </row>
    <row r="30" spans="2:16" s="23" customFormat="1" x14ac:dyDescent="0.25">
      <c r="C30" s="24"/>
      <c r="P30" s="60"/>
    </row>
    <row r="31" spans="2:16" s="23" customFormat="1" x14ac:dyDescent="0.25">
      <c r="C31" s="24"/>
      <c r="P31" s="60"/>
    </row>
    <row r="32" spans="2:16" s="23" customFormat="1" x14ac:dyDescent="0.25">
      <c r="C32" s="24"/>
      <c r="P32" s="60"/>
    </row>
    <row r="33" spans="3:16" s="23" customFormat="1" x14ac:dyDescent="0.25">
      <c r="C33" s="24"/>
      <c r="P33" s="60"/>
    </row>
    <row r="34" spans="3:16" s="23" customFormat="1" x14ac:dyDescent="0.25">
      <c r="C34" s="24"/>
      <c r="P34" s="60"/>
    </row>
    <row r="35" spans="3:16" s="23" customFormat="1" x14ac:dyDescent="0.25">
      <c r="C35" s="24"/>
      <c r="P35" s="60"/>
    </row>
    <row r="36" spans="3:16" s="23" customFormat="1" x14ac:dyDescent="0.25">
      <c r="C36" s="24"/>
      <c r="P36" s="60"/>
    </row>
    <row r="37" spans="3:16" s="23" customFormat="1" x14ac:dyDescent="0.25">
      <c r="C37" s="24"/>
      <c r="P37" s="60"/>
    </row>
    <row r="38" spans="3:16" s="23" customFormat="1" x14ac:dyDescent="0.25">
      <c r="C38" s="24"/>
      <c r="P38" s="60"/>
    </row>
    <row r="39" spans="3:16" s="23" customFormat="1" ht="15.75" thickBot="1" x14ac:dyDescent="0.3">
      <c r="C39" s="37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64"/>
    </row>
    <row r="40" spans="3:16" x14ac:dyDescent="0.25">
      <c r="C40" s="58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59"/>
    </row>
    <row r="41" spans="3:16" x14ac:dyDescent="0.25">
      <c r="C41" s="5"/>
      <c r="P41" s="90"/>
    </row>
    <row r="42" spans="3:16" x14ac:dyDescent="0.25">
      <c r="C42" s="5"/>
      <c r="P42" s="90"/>
    </row>
    <row r="43" spans="3:16" x14ac:dyDescent="0.25">
      <c r="C43" s="5"/>
      <c r="P43" s="90"/>
    </row>
    <row r="44" spans="3:16" x14ac:dyDescent="0.25">
      <c r="C44" s="5"/>
      <c r="P44" s="90"/>
    </row>
    <row r="45" spans="3:16" x14ac:dyDescent="0.25">
      <c r="C45" s="5"/>
      <c r="P45" s="90"/>
    </row>
    <row r="46" spans="3:16" x14ac:dyDescent="0.25">
      <c r="C46" s="5"/>
      <c r="P46" s="90"/>
    </row>
    <row r="47" spans="3:16" x14ac:dyDescent="0.25">
      <c r="C47" s="5"/>
      <c r="P47" s="90"/>
    </row>
    <row r="48" spans="3:16" x14ac:dyDescent="0.25">
      <c r="C48" s="5"/>
      <c r="P48" s="90"/>
    </row>
    <row r="49" spans="3:16" x14ac:dyDescent="0.25">
      <c r="C49" s="5"/>
      <c r="P49" s="90"/>
    </row>
    <row r="50" spans="3:16" x14ac:dyDescent="0.25">
      <c r="C50" s="5"/>
      <c r="P50" s="90"/>
    </row>
    <row r="51" spans="3:16" x14ac:dyDescent="0.25">
      <c r="C51" s="5"/>
      <c r="P51" s="90"/>
    </row>
    <row r="52" spans="3:16" x14ac:dyDescent="0.25">
      <c r="C52" s="5"/>
      <c r="P52" s="90"/>
    </row>
    <row r="53" spans="3:16" x14ac:dyDescent="0.25">
      <c r="C53" s="5"/>
      <c r="P53" s="90"/>
    </row>
    <row r="54" spans="3:16" x14ac:dyDescent="0.25">
      <c r="C54" s="5"/>
      <c r="P54" s="90"/>
    </row>
    <row r="55" spans="3:16" x14ac:dyDescent="0.25">
      <c r="C55" s="5"/>
      <c r="P55" s="90"/>
    </row>
    <row r="56" spans="3:16" x14ac:dyDescent="0.25">
      <c r="C56" s="5"/>
      <c r="P56" s="90"/>
    </row>
    <row r="57" spans="3:16" x14ac:dyDescent="0.25">
      <c r="C57" s="5"/>
      <c r="P57" s="90"/>
    </row>
    <row r="58" spans="3:16" x14ac:dyDescent="0.25">
      <c r="C58" s="5"/>
      <c r="P58" s="90"/>
    </row>
    <row r="59" spans="3:16" x14ac:dyDescent="0.25">
      <c r="C59" s="5"/>
      <c r="P59" s="90"/>
    </row>
    <row r="60" spans="3:16" x14ac:dyDescent="0.25">
      <c r="C60" s="5"/>
      <c r="P60" s="90"/>
    </row>
    <row r="61" spans="3:16" x14ac:dyDescent="0.25">
      <c r="C61" s="5"/>
      <c r="P61" s="90"/>
    </row>
    <row r="62" spans="3:16" x14ac:dyDescent="0.25">
      <c r="C62" s="5"/>
      <c r="P62" s="90"/>
    </row>
    <row r="63" spans="3:16" x14ac:dyDescent="0.25">
      <c r="C63" s="5"/>
      <c r="P63" s="90"/>
    </row>
    <row r="64" spans="3:16" x14ac:dyDescent="0.25">
      <c r="C64" s="5"/>
      <c r="P64" s="90"/>
    </row>
    <row r="65" spans="3:16" x14ac:dyDescent="0.25">
      <c r="C65" s="5"/>
      <c r="P65" s="90"/>
    </row>
    <row r="66" spans="3:16" x14ac:dyDescent="0.25">
      <c r="C66" s="5"/>
      <c r="P66" s="90"/>
    </row>
    <row r="67" spans="3:16" x14ac:dyDescent="0.25">
      <c r="C67" s="5"/>
      <c r="P67" s="90"/>
    </row>
    <row r="68" spans="3:16" ht="15.75" thickBot="1" x14ac:dyDescent="0.3"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91"/>
    </row>
  </sheetData>
  <mergeCells count="11">
    <mergeCell ref="F2:L4"/>
    <mergeCell ref="C2:E4"/>
    <mergeCell ref="M2:P4"/>
    <mergeCell ref="M5:P5"/>
    <mergeCell ref="C20:P20"/>
    <mergeCell ref="K7:O7"/>
    <mergeCell ref="K8:O8"/>
    <mergeCell ref="C5:E5"/>
    <mergeCell ref="K5:L5"/>
    <mergeCell ref="C8:G8"/>
    <mergeCell ref="F5:J5"/>
  </mergeCells>
  <phoneticPr fontId="0" type="noConversion"/>
  <conditionalFormatting sqref="D19:O19">
    <cfRule type="cellIs" dxfId="8" priority="10" stopIfTrue="1" operator="equal">
      <formula>0</formula>
    </cfRule>
    <cfRule type="cellIs" dxfId="7" priority="11" stopIfTrue="1" operator="lessThan">
      <formula>80</formula>
    </cfRule>
    <cfRule type="cellIs" dxfId="6" priority="12" stopIfTrue="1" operator="greaterThan">
      <formula>80</formula>
    </cfRule>
  </conditionalFormatting>
  <conditionalFormatting sqref="D11:P17">
    <cfRule type="cellIs" dxfId="5" priority="1" stopIfTrue="1" operator="equal">
      <formula>0</formula>
    </cfRule>
    <cfRule type="cellIs" dxfId="4" priority="2" stopIfTrue="1" operator="lessThan">
      <formula>80</formula>
    </cfRule>
    <cfRule type="cellIs" dxfId="3" priority="3" stopIfTrue="1" operator="greaterThan">
      <formula>80</formula>
    </cfRule>
  </conditionalFormatting>
  <conditionalFormatting sqref="D21:P21">
    <cfRule type="cellIs" dxfId="2" priority="7" stopIfTrue="1" operator="equal">
      <formula>0</formula>
    </cfRule>
    <cfRule type="cellIs" dxfId="1" priority="8" stopIfTrue="1" operator="lessThan">
      <formula>80</formula>
    </cfRule>
    <cfRule type="cellIs" dxfId="0" priority="9" stopIfTrue="1" operator="greaterThan">
      <formula>80</formula>
    </cfRule>
  </conditionalFormatting>
  <printOptions horizontalCentered="1" verticalCentered="1"/>
  <pageMargins left="0.35433070866141736" right="0.43307086614173229" top="0.55118110236220474" bottom="0.62992125984251968" header="0" footer="0"/>
  <pageSetup paperSize="9" scale="80" orientation="landscape" r:id="rId1"/>
  <headerFooter alignWithMargins="0"/>
  <ignoredErrors>
    <ignoredError sqref="E11 D17 D13:F13 D14:F14 D15:F15 D16:F16 G16:O16 G15:O15 G14:O14 G13:O13 M11:O11 G17:O17 G12:P12 P17 G11:J11 P11 P16 P13 P14 P15 G19:O19 L11 F17" evalError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B2D01B15E384409F745933F28D9657" ma:contentTypeVersion="18" ma:contentTypeDescription="Crear nuevo documento." ma:contentTypeScope="" ma:versionID="9ae8ea6cfbec7e92cf6002a7ddaad72a">
  <xsd:schema xmlns:xsd="http://www.w3.org/2001/XMLSchema" xmlns:xs="http://www.w3.org/2001/XMLSchema" xmlns:p="http://schemas.microsoft.com/office/2006/metadata/properties" xmlns:ns2="327c2423-4f7f-4e0e-adaa-c61a5f873c26" xmlns:ns3="62b9ae43-aec8-40a5-a558-18e2570f978b" targetNamespace="http://schemas.microsoft.com/office/2006/metadata/properties" ma:root="true" ma:fieldsID="f8ea743b0fea26b8d243a6d2732062c3" ns2:_="" ns3:_="">
    <xsd:import namespace="327c2423-4f7f-4e0e-adaa-c61a5f873c26"/>
    <xsd:import namespace="62b9ae43-aec8-40a5-a558-18e2570f97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c2423-4f7f-4e0e-adaa-c61a5f873c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52c333a1-7048-4199-8741-493278d4c1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b9ae43-aec8-40a5-a558-18e2570f978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29b4967-2a04-408c-bd87-6014307d91db}" ma:internalName="TaxCatchAll" ma:showField="CatchAllData" ma:web="62b9ae43-aec8-40a5-a558-18e2570f97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7c2423-4f7f-4e0e-adaa-c61a5f873c26">
      <Terms xmlns="http://schemas.microsoft.com/office/infopath/2007/PartnerControls"/>
    </lcf76f155ced4ddcb4097134ff3c332f>
    <TaxCatchAll xmlns="62b9ae43-aec8-40a5-a558-18e2570f978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2E0AFEA-96AC-40BA-8C36-1CDB3955CC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7c2423-4f7f-4e0e-adaa-c61a5f873c26"/>
    <ds:schemaRef ds:uri="62b9ae43-aec8-40a5-a558-18e2570f97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D6172A-0310-41DD-8945-E088E7E0F629}">
  <ds:schemaRefs>
    <ds:schemaRef ds:uri="http://schemas.microsoft.com/office/2006/metadata/properties"/>
    <ds:schemaRef ds:uri="http://schemas.microsoft.com/office/infopath/2007/PartnerControls"/>
    <ds:schemaRef ds:uri="327c2423-4f7f-4e0e-adaa-c61a5f873c26"/>
    <ds:schemaRef ds:uri="62b9ae43-aec8-40a5-a558-18e2570f978b"/>
  </ds:schemaRefs>
</ds:datastoreItem>
</file>

<file path=customXml/itemProps3.xml><?xml version="1.0" encoding="utf-8"?>
<ds:datastoreItem xmlns:ds="http://schemas.openxmlformats.org/officeDocument/2006/customXml" ds:itemID="{A0A7D840-1D3B-4A0A-BE02-8692D316A3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ART</vt:lpstr>
      <vt:lpstr>OPAS</vt:lpstr>
      <vt:lpstr>IDPS</vt:lpstr>
      <vt:lpstr>IDS</vt:lpstr>
      <vt:lpstr>IENTS</vt:lpstr>
      <vt:lpstr>OSEA</vt:lpstr>
      <vt:lpstr>ICAI</vt:lpstr>
      <vt:lpstr>INDICE DE GESTIÓN (IG)</vt:lpstr>
      <vt:lpstr>'INDICE DE GESTIÓN (IG)'!Área_de_impresión</vt:lpstr>
    </vt:vector>
  </TitlesOfParts>
  <Manager/>
  <Company>SERVIE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dmirandh</dc:creator>
  <cp:keywords/>
  <dc:description/>
  <cp:lastModifiedBy>DIEGO CUSHI</cp:lastModifiedBy>
  <cp:revision/>
  <cp:lastPrinted>2026-10-13T20:21:08Z</cp:lastPrinted>
  <dcterms:created xsi:type="dcterms:W3CDTF">2006-08-09T22:45:58Z</dcterms:created>
  <dcterms:modified xsi:type="dcterms:W3CDTF">2026-10-13T20:21:14Z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0x0101001FB2D01B15E384409F745933F28D9657</vt:lpwstr>
  </property>
  <property fmtid="{D5CDD505-2E9C-101B-9397-08002B2CF9AE}" pid="3" name="MediaServiceImageTags">
    <vt:lpwstr/>
  </property>
</Properties>
</file>