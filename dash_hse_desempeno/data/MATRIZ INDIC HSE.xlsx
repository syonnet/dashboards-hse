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triboilgas.sharepoint.com/conexpet/SSA CONEXPET/2. REGISTROS QHSE/9. INDICADORES QHSE GESTIÓN MENSUAL 23-24-25/2) INDICADORES REAC Y PROAC CNX 22-23-24-25-26/2026/"/>
    </mc:Choice>
  </mc:AlternateContent>
  <xr:revisionPtr revIDLastSave="639" documentId="13_ncr:1_{058379BA-1A45-49BC-B0FA-92087D42A59D}" xr6:coauthVersionLast="47" xr6:coauthVersionMax="47" xr10:uidLastSave="{12528F69-E291-4D73-8D35-0A4CD7C016ED}"/>
  <bookViews>
    <workbookView xWindow="20370" yWindow="-120" windowWidth="25440" windowHeight="15270" tabRatio="824" xr2:uid="{00000000-000D-0000-FFFF-FFFF00000000}"/>
  </bookViews>
  <sheets>
    <sheet name="INDICADORES HSE 2026" sheetId="10" r:id="rId1"/>
    <sheet name="INDICADORES HSE 2025 (DC)" sheetId="3" state="hidden" r:id="rId2"/>
    <sheet name="GRAF HSE" sheetId="9" state="hidden" r:id="rId3"/>
  </sheets>
  <definedNames>
    <definedName name="_xlnm._FilterDatabase" localSheetId="2" hidden="1">'GRAF HSE'!$C$315:$J$320</definedName>
    <definedName name="_xlnm.Print_Area" localSheetId="1">'INDICADORES HSE 2025 (DC)'!$C$4:$H$4</definedName>
    <definedName name="_xlnm.Print_Area" localSheetId="0">'INDICADORES HSE 2026'!$D$5:$I$5</definedName>
    <definedName name="_xlnm.Print_Titles" localSheetId="2">'GRAF HSE'!$2:$7</definedName>
    <definedName name="_xlnm.Print_Titles" localSheetId="1">'INDICADORES HSE 2025 (DC)'!$1:$5</definedName>
    <definedName name="_xlnm.Print_Titles" localSheetId="0">'INDICADORES HSE 2026'!$2:$6</definedName>
  </definedNames>
  <calcPr calcId="191028"/>
  <pivotCaches>
    <pivotCache cacheId="4" r:id="rId4"/>
    <pivotCache cacheId="5" r:id="rId5"/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tc={22B4E08C-1F3E-4246-888F-5714A35971F3}</author>
    <author>tc={1965547D-1E6B-4E54-9936-BC54B1E6DE69}</author>
  </authors>
  <commentList>
    <comment ref="F58" authorId="0" shapeId="0" xr:uid="{22B4E08C-1F3E-4246-888F-5714A35971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Vencidas considerara también los sin registro y caducadas</t>
      </text>
    </comment>
    <comment ref="F59" authorId="1" shapeId="0" xr:uid="{1965547D-1E6B-4E54-9936-BC54B1E6DE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Vencidas considerara también los sin registro y caducadas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CUSHI</author>
    <author>tc={9478D6E2-7058-48A0-9D6F-304CF993C447}</author>
    <author>tc={30273DBC-25F5-4C88-AD71-7E7F4A337399}</author>
  </authors>
  <commentList>
    <comment ref="U34" authorId="0" shapeId="0" xr:uid="{E4479B6B-9C48-4520-A142-D595F46C52E6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AJ34" authorId="0" shapeId="0" xr:uid="{9F0AF96E-F36D-42D3-94D1-AC3D6B6C8702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AY34" authorId="0" shapeId="0" xr:uid="{6B5B417C-EFF8-4C20-B022-FE61960ADDD7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U35" authorId="0" shapeId="0" xr:uid="{D593011B-AE9E-48D0-800C-71E89A22BDEE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AJ35" authorId="0" shapeId="0" xr:uid="{EBDB8BCD-2EC5-4CB1-A6D0-F1B891DE1C91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AY35" authorId="0" shapeId="0" xr:uid="{ABE4C5A4-89A7-4BA9-A054-F3288AC29124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U36" authorId="0" shapeId="0" xr:uid="{9D14818C-9143-47A0-8056-E25E822452EC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AJ36" authorId="0" shapeId="0" xr:uid="{5677968B-0E45-472D-A9D4-666F3C2CD1FB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AY36" authorId="0" shapeId="0" xr:uid="{0FDF25E4-113C-4B86-8395-2AE2F9F069E4}">
      <text>
        <r>
          <rPr>
            <b/>
            <sz val="9"/>
            <color indexed="81"/>
            <rFont val="Tahoma"/>
            <family val="2"/>
          </rPr>
          <t>DIEGO CUSHI:</t>
        </r>
        <r>
          <rPr>
            <sz val="9"/>
            <color indexed="81"/>
            <rFont val="Tahoma"/>
            <family val="2"/>
          </rPr>
          <t xml:space="preserve">
Se cumple el % establecido, por ende el cumplimientoregistrado para el cáculo general del IDAG indicar es de 100%</t>
        </r>
      </text>
    </comment>
    <comment ref="E58" authorId="1" shapeId="0" xr:uid="{9478D6E2-7058-48A0-9D6F-304CF993C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Vencidas considerara también los sin registro y caducadas</t>
      </text>
    </comment>
    <comment ref="E59" authorId="2" shapeId="0" xr:uid="{30273DBC-25F5-4C88-AD71-7E7F4A3373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Vencidas considerara también los sin registro y caducadas</t>
      </text>
    </comment>
  </commentList>
</comments>
</file>

<file path=xl/sharedStrings.xml><?xml version="1.0" encoding="utf-8"?>
<sst xmlns="http://schemas.openxmlformats.org/spreadsheetml/2006/main" count="983" uniqueCount="395">
  <si>
    <t>#</t>
  </si>
  <si>
    <t>SUB-PROCESO</t>
  </si>
  <si>
    <t>INDICADOR PLANTEADO</t>
  </si>
  <si>
    <t>ABREVIATURA</t>
  </si>
  <si>
    <t>FÓRMULA DE CÁLCULO</t>
  </si>
  <si>
    <t>META 2022</t>
  </si>
  <si>
    <t>META 2025</t>
  </si>
  <si>
    <t>FRECUENCIA DE CONTROL</t>
  </si>
  <si>
    <t>TBG ENE</t>
  </si>
  <si>
    <t>BV ENE</t>
  </si>
  <si>
    <t>CNX ENE</t>
  </si>
  <si>
    <t>CSH ENE</t>
  </si>
  <si>
    <t>TUR ENE</t>
  </si>
  <si>
    <t>TBG FEB</t>
  </si>
  <si>
    <t>BV 
FEB</t>
  </si>
  <si>
    <t>CNX FEB</t>
  </si>
  <si>
    <t>CSH FEB</t>
  </si>
  <si>
    <t>TUR FEB</t>
  </si>
  <si>
    <t>TBG MAR</t>
  </si>
  <si>
    <t>BV MAR</t>
  </si>
  <si>
    <t>CNX MAR</t>
  </si>
  <si>
    <t>CSH MAR</t>
  </si>
  <si>
    <t>TUR MAR</t>
  </si>
  <si>
    <t>TBG ABR</t>
  </si>
  <si>
    <t>BV ABR</t>
  </si>
  <si>
    <t>CNX ABR</t>
  </si>
  <si>
    <t>CSH ABR</t>
  </si>
  <si>
    <t>TUR ABR</t>
  </si>
  <si>
    <t>TBG MAY</t>
  </si>
  <si>
    <t>BV MAY</t>
  </si>
  <si>
    <t>CNX MAY</t>
  </si>
  <si>
    <t>CSH MAY</t>
  </si>
  <si>
    <t>TUR MAY</t>
  </si>
  <si>
    <t>TBG JUN</t>
  </si>
  <si>
    <t>BV JUN</t>
  </si>
  <si>
    <t>CNX JUN</t>
  </si>
  <si>
    <t>CSH JUN</t>
  </si>
  <si>
    <t>TUR JUN</t>
  </si>
  <si>
    <t>TBG JUL</t>
  </si>
  <si>
    <t>BV JUL</t>
  </si>
  <si>
    <t>CNX JUL</t>
  </si>
  <si>
    <t>CSH JUL</t>
  </si>
  <si>
    <t>TUR JUL</t>
  </si>
  <si>
    <t>TBG AGO</t>
  </si>
  <si>
    <t>BV AGO</t>
  </si>
  <si>
    <t>CNX AGO</t>
  </si>
  <si>
    <t>CSH AGO</t>
  </si>
  <si>
    <t>TUR AGO</t>
  </si>
  <si>
    <t>TBG SEP</t>
  </si>
  <si>
    <t>BV SEP</t>
  </si>
  <si>
    <t>CNX SEP</t>
  </si>
  <si>
    <t>CSH SEP</t>
  </si>
  <si>
    <t>TUR SEP</t>
  </si>
  <si>
    <t>TBG OCT</t>
  </si>
  <si>
    <t>BV OCT</t>
  </si>
  <si>
    <t>CNX OCT</t>
  </si>
  <si>
    <t>CSH OCT</t>
  </si>
  <si>
    <t>TUR OCT</t>
  </si>
  <si>
    <t>TBG NOV</t>
  </si>
  <si>
    <t>BV NOV</t>
  </si>
  <si>
    <t>CNX NOV</t>
  </si>
  <si>
    <t>CSH NOV</t>
  </si>
  <si>
    <t>TUR NOV</t>
  </si>
  <si>
    <t>TBG DIC</t>
  </si>
  <si>
    <t>BV DIC</t>
  </si>
  <si>
    <t>CNX DIC</t>
  </si>
  <si>
    <t>CSH DIC</t>
  </si>
  <si>
    <t>TUR DIC</t>
  </si>
  <si>
    <t>SEGURIDAD INDUSTRIAL</t>
  </si>
  <si>
    <t>Índice de Frecuencia (IF). Incidentes personales con pérdidas de días</t>
  </si>
  <si>
    <t>IF</t>
  </si>
  <si>
    <t>(#de incidentes LTI x 200000) / (# de horas hombre reales trabajadas)</t>
  </si>
  <si>
    <t>&lt; 1.27</t>
  </si>
  <si>
    <t>&lt; 0,94</t>
  </si>
  <si>
    <t>Mensual
(Acumulado)</t>
  </si>
  <si>
    <t>Índice de gravedad</t>
  </si>
  <si>
    <t>IG</t>
  </si>
  <si>
    <t>(#de días perdidos x 200000) / (# de horas hombre reales trabajadas)</t>
  </si>
  <si>
    <t>≤ 15,59</t>
  </si>
  <si>
    <t>Mensual</t>
  </si>
  <si>
    <t>Tasa de riesgo</t>
  </si>
  <si>
    <t>TR</t>
  </si>
  <si>
    <t>ÍnDICe de gravedad /ÍnDICe de frecuencia</t>
  </si>
  <si>
    <t>≤ 27,4</t>
  </si>
  <si>
    <t xml:space="preserve"> Índice de incidentes vehiculares
(Motor vehicle crash)</t>
  </si>
  <si>
    <t>MCV</t>
  </si>
  <si>
    <t>MCV= (1000000 * # de Accidentes vehiculares) / (Total de kilómetros recorridos)</t>
  </si>
  <si>
    <t>≤ 1,8</t>
  </si>
  <si>
    <t>≤ 0,8</t>
  </si>
  <si>
    <t>Cierre de tarjetas cero</t>
  </si>
  <si>
    <t>CTC</t>
  </si>
  <si>
    <t>((# de tarjetas cerradas)/(#. de tarjetas levantadas))*100</t>
  </si>
  <si>
    <t>≥ 80 %</t>
  </si>
  <si>
    <t>≥ 75 %</t>
  </si>
  <si>
    <t>Cumplimiento de Planes de Acción Correctiva (actos y condicion subestandar)</t>
  </si>
  <si>
    <t>CPAC</t>
  </si>
  <si>
    <t>(# acciones correctivas cerradas / # acciones correctivas generadas) x 100</t>
  </si>
  <si>
    <t>Análisis de Riesgo de Tarea</t>
  </si>
  <si>
    <t>ART</t>
  </si>
  <si>
    <t># Análisis de Riesgo de Tarea (ATS) realizado  / # Análisis de Riesgo de Tarea (ATS) requerido</t>
  </si>
  <si>
    <t>Observación Planeada de acción subestándar</t>
  </si>
  <si>
    <t>OPAS</t>
  </si>
  <si>
    <t># Inspecciones de trabajo realizada  / # Inspecciones de trabajo planificada</t>
  </si>
  <si>
    <t>Diálogo Periódico de Seguridad</t>
  </si>
  <si>
    <t>IDPS</t>
  </si>
  <si>
    <t>((# Capac. realizadas/ #Capac. programadas) / (# de pers. asistentes / #de pers. programadas))</t>
  </si>
  <si>
    <t>Demanda de seguridad</t>
  </si>
  <si>
    <t>IDS</t>
  </si>
  <si>
    <t># ConDICiones subestándar eliminadas / #ConDICiones subestándar identificadas</t>
  </si>
  <si>
    <t>Entrenamientos de seguridad</t>
  </si>
  <si>
    <t>IENTS</t>
  </si>
  <si>
    <t># Entrenamientos realizados / # Entrenamiento planificados</t>
  </si>
  <si>
    <t>Permisos de trabajo observados</t>
  </si>
  <si>
    <t>OSEA</t>
  </si>
  <si>
    <t>#Permisos de trabajo observados / # Permiso de trabajo revisados</t>
  </si>
  <si>
    <t>Trimestral</t>
  </si>
  <si>
    <t>Control de accidentes / incidentes</t>
  </si>
  <si>
    <t>CAI</t>
  </si>
  <si>
    <t># de Actividades de Planes de acciones cerradas / # de Actividades de Planes de acciones establecidas</t>
  </si>
  <si>
    <t>ÍnDICe de gestión de la Seguridad y Salud en el trabajo</t>
  </si>
  <si>
    <t>I G</t>
  </si>
  <si>
    <t>Indicador proactivo global de cumplimiento del sistema de gestión de SST (incluye ART, OPAS, IDPS, IDS, IENTS, OSEA, CAI)</t>
  </si>
  <si>
    <t>SALUD OCUPACIONAL</t>
  </si>
  <si>
    <t>índice de enfermedades Profesionales</t>
  </si>
  <si>
    <t>IEP</t>
  </si>
  <si>
    <t>(#enfermedades Ocup. X 1000) / (# de trabajadores)</t>
  </si>
  <si>
    <t>≤ 5</t>
  </si>
  <si>
    <t>Incidencia de Lesiones musculoesqueleticas</t>
  </si>
  <si>
    <t>ILME</t>
  </si>
  <si>
    <t>(lesiones musculoesqueleticas identificadas x 1000 / # trabajadores totales)</t>
  </si>
  <si>
    <t>≤ 10</t>
  </si>
  <si>
    <t>índice de Exámenes Ocupacionales</t>
  </si>
  <si>
    <t>IEO</t>
  </si>
  <si>
    <t>( (#exámenes Ocup.  ejecutados) / (# de trabajadores planificados) ) x  100</t>
  </si>
  <si>
    <t>≥ 90%</t>
  </si>
  <si>
    <t>Control y seguimiento de sobrepeso y obesidad</t>
  </si>
  <si>
    <t>CSSO</t>
  </si>
  <si>
    <t>(# trabajadores identificados por medidas antropométricas / # trabajadores evaluados) x 100</t>
  </si>
  <si>
    <t>≤ 25</t>
  </si>
  <si>
    <t>Cumplimiento del Plan de Vigilancia de la Salud</t>
  </si>
  <si>
    <t>PVM</t>
  </si>
  <si>
    <t>[(# Valoraciones méDICas realizadas/ # Valoraciones méDICas programadas)] X 100</t>
  </si>
  <si>
    <t>[(# Carnets de vacunas actualizadas/ # Carnets de vacunas programadas actualizar)] X 100</t>
  </si>
  <si>
    <t>≥ 80%</t>
  </si>
  <si>
    <t>Cumplimiento de Capacitación S.O</t>
  </si>
  <si>
    <t>PCSSA</t>
  </si>
  <si>
    <t># Capacitaciones S.O.  realizados / # Capacitaciones S.O. s  planificados</t>
  </si>
  <si>
    <t>Cumplimiento de Entrenamientos y Simulacros S.O</t>
  </si>
  <si>
    <t>ESSO</t>
  </si>
  <si>
    <t># Entrenamientos y Simulacros  realizados / # Entrenamiento y Simulacros  planificados</t>
  </si>
  <si>
    <t>≥ 85 %</t>
  </si>
  <si>
    <t>Bimensual</t>
  </si>
  <si>
    <t>CSI</t>
  </si>
  <si>
    <t>(# casos cerrados / # casos reportados ) x 100</t>
  </si>
  <si>
    <t>≥ 30%</t>
  </si>
  <si>
    <t>Cumplimiento de visitas medicas</t>
  </si>
  <si>
    <t>CVM</t>
  </si>
  <si>
    <t>(# visitas realizdas / # visitas planificadas ) x 100</t>
  </si>
  <si>
    <t>Condiciones subestandar</t>
  </si>
  <si>
    <t>CSE</t>
  </si>
  <si>
    <t>(#condiciones subestandar reportadas / # inspecciones realizadas) x 100</t>
  </si>
  <si>
    <t>Cumplimiento de Programas de Promoción de la Salud (Activate y vive)</t>
  </si>
  <si>
    <t>PPS</t>
  </si>
  <si>
    <t># Programas de Promoción de la Salud  realizados / # Programas de Promoción de la Salud  planificados</t>
  </si>
  <si>
    <t>Semestral</t>
  </si>
  <si>
    <t>MEDIO AMBIENTE CAMPO (PLAN DE MEJORA AMBIENTAL)</t>
  </si>
  <si>
    <t>Orden y limpieza</t>
  </si>
  <si>
    <t>ICOL</t>
  </si>
  <si>
    <t xml:space="preserve">ICOL=  (puntuación obtenida en cada área)/(puntuación máxima posible (100))  x 100 </t>
  </si>
  <si>
    <t>≥ 95%</t>
  </si>
  <si>
    <t>Formación y sensibilización ambiental</t>
  </si>
  <si>
    <t>ICFSA</t>
  </si>
  <si>
    <t>%=  (# de empleados que participan en capacitaciones ambientales)/(# total de empleados en turno)  x 100</t>
  </si>
  <si>
    <t xml:space="preserve">Consumo energético </t>
  </si>
  <si>
    <t>IRCE</t>
  </si>
  <si>
    <t>% reducción ENERGÍA=  (consumo anterior-consumo actual)/(consumo anterior)  x 100</t>
  </si>
  <si>
    <t>reducción del 5% anual</t>
  </si>
  <si>
    <t>1,25%x trimestre</t>
  </si>
  <si>
    <t>Consumo agua</t>
  </si>
  <si>
    <t>IRCA</t>
  </si>
  <si>
    <t>% reducción agua=  (consumo anterior-consumo actual)/(consumo anterior)  x 100</t>
  </si>
  <si>
    <t>Reciclaje residuos</t>
  </si>
  <si>
    <t>ICRR</t>
  </si>
  <si>
    <t>% reciclaje=  (residuos reciclados)/(total residuos generados)  x 100</t>
  </si>
  <si>
    <t>10% en el año</t>
  </si>
  <si>
    <t>10% en el año ó 2,5% x trimestre</t>
  </si>
  <si>
    <t>Cumplimiento al plan de monitoreo</t>
  </si>
  <si>
    <t>ICPMON</t>
  </si>
  <si>
    <t>% Cumplimiento al Plan de Monitoreo =  (# monitoreos ejecutados )/(# monitoreos planificados)  x 100</t>
  </si>
  <si>
    <t>Cumplimiento límites permisibles emisiones gaseosas</t>
  </si>
  <si>
    <t>ICLMPG</t>
  </si>
  <si>
    <t>% cumplimiento=  (# de monitoreo de fuentes dentro de LMP)/(# total de fuentes fijas de combustión monitoreadas)  x 100</t>
  </si>
  <si>
    <t>Cumplimiento límites permisibles monitoreo aguas</t>
  </si>
  <si>
    <t>ICLMPA</t>
  </si>
  <si>
    <t>% cumplimiento=  (# de monitoreo de aguas dentro de LMP)/(# total de monitoreos ejecutados)  x 100</t>
  </si>
  <si>
    <t>Cumplimiento al PMA</t>
  </si>
  <si>
    <t>ICPMA</t>
  </si>
  <si>
    <t>% cumplimiento PMA=  (# de acciones que si cumplen)/(# total de acciones )  x 100</t>
  </si>
  <si>
    <t xml:space="preserve">Cumplimiento acciones correctivas </t>
  </si>
  <si>
    <t>ICAC</t>
  </si>
  <si>
    <t>% acciones correctivas=  (# acciones correctivas implementadas a tiempo)/(# total de acciones correctivas)  x 100</t>
  </si>
  <si>
    <t>≥95%</t>
  </si>
  <si>
    <t>≥80%</t>
  </si>
  <si>
    <t>Talleres ambientales</t>
  </si>
  <si>
    <t>ITTA</t>
  </si>
  <si>
    <t>% de empleados=  (# de empleados que asisten a un taller ambiental)/(# total de empleados )  x 100</t>
  </si>
  <si>
    <t>≥90%</t>
  </si>
  <si>
    <t>Índice de desempeño ambiental global (abarca indicadores 1 a 10)</t>
  </si>
  <si>
    <t>IDAG</t>
  </si>
  <si>
    <t>(ICOL*10%)  + (ICFSA*10%) + (IRCE*2,5%) + (IRCA*2,5%)+ (ICRR*10%) + (ICPMON*10%) + (ICLMPG*10%) + (ICLMPA*10%) + (ICPMA*20%) + (ICAC*10%) + (ITTA*5%)</t>
  </si>
  <si>
    <t>MEDIO AMBIENTE OFICINAS QUITO</t>
  </si>
  <si>
    <t>Índice de Generación y Gestión de Residuos Sólidos Comunes</t>
  </si>
  <si>
    <t>IGGR</t>
  </si>
  <si>
    <t>(Cantidad de residuos reciclados / Cantidad total de residuos generados) x 100</t>
  </si>
  <si>
    <t>≥60%</t>
  </si>
  <si>
    <t>Índice de Gestión de Residuos Peligrosos (Baterías y Electrónicos)</t>
  </si>
  <si>
    <t>IGRP</t>
  </si>
  <si>
    <t>(Cantidad de residuos peligrosos gestionados adecuadamente / Cantidad generada) x 100</t>
  </si>
  <si>
    <t>Cumplimiento de capacitaciones ambientales</t>
  </si>
  <si>
    <t>CCA</t>
  </si>
  <si>
    <t>(# de capacitaciones realizadas / # capacitaciones planificadas ) x 100</t>
  </si>
  <si>
    <t>RELACIONES COMUNITARIAS
RRCC BLANCA VINITA</t>
  </si>
  <si>
    <t>Índice de contratación de Mano de Obra Local (BV TBG)</t>
  </si>
  <si>
    <t>ICMOL
BV-TBG</t>
  </si>
  <si>
    <t>[(# de personal local contratado/ # total de personal contratado)] X 100</t>
  </si>
  <si>
    <t>≥ 70%</t>
  </si>
  <si>
    <t>Índice de contratación de Mano de Obra Local (PEC-EP)</t>
  </si>
  <si>
    <t>ICMOL PEC</t>
  </si>
  <si>
    <t>[(# de personal local contratado/ # total de personal contratado)] X 101</t>
  </si>
  <si>
    <t>Índice de contratación de Servicios locales</t>
  </si>
  <si>
    <t>ICSL</t>
  </si>
  <si>
    <t>[(# de servicios locales contratados/ # total de servicios contratados)] X 100</t>
  </si>
  <si>
    <t>Índice de inducciones realizadas a personal contratista</t>
  </si>
  <si>
    <t>IIRPC</t>
  </si>
  <si>
    <t>[(# de Inducciones realizadas/ # total de Inducciones solicitadas)] X 100</t>
  </si>
  <si>
    <t xml:space="preserve">Índice de Gestión de conflictos sociales </t>
  </si>
  <si>
    <t>IGCS</t>
  </si>
  <si>
    <t>[(# de Conflictos sociales resueltos/ # total de Conflictos sociales presentados)] X 100</t>
  </si>
  <si>
    <t>Índice de caracterizaciones sociales realizadas</t>
  </si>
  <si>
    <t>ICSR</t>
  </si>
  <si>
    <t>[(# de caracterizaciones sociales realizadas/ # total de caracterizaciones sociales requeridas)] X 100</t>
  </si>
  <si>
    <t>QA / QC
OPERACIONES VINITA</t>
  </si>
  <si>
    <t>Índice de gestión de cierre de ítems B</t>
  </si>
  <si>
    <t>IIB</t>
  </si>
  <si>
    <t>#de ítems "B" cerrados (IBC) / # total de ítems "B" levantados (TIB)</t>
  </si>
  <si>
    <t>Índice de PNCs levantados por el total de las desviaciones observadas en las operaciones de BV</t>
  </si>
  <si>
    <t>IPNC</t>
  </si>
  <si>
    <t>#de PNCs Levantados(NCL) / # de desviaciones observadas (DO)</t>
  </si>
  <si>
    <t>≥ 10%</t>
  </si>
  <si>
    <t>Índice de dossiers de calidad PRF &amp; CPI</t>
  </si>
  <si>
    <t>IDP&amp;C</t>
  </si>
  <si>
    <t># Dossiers Aprobados de PRF&amp;CPI (IDP)  / # Dossiers Totales de PRF&amp;CPI(DTP)</t>
  </si>
  <si>
    <t>≥ 50%</t>
  </si>
  <si>
    <t>Índice de dossiers de calidad Equipos de Superficie</t>
  </si>
  <si>
    <t>IDES</t>
  </si>
  <si>
    <t># Dossiers Aprobados de Equipos de Superficie (IDES)  / # Dossiers Totales de Equipos de Superficie(DTES)</t>
  </si>
  <si>
    <t>Índice de eficiencia en liberaciones</t>
  </si>
  <si>
    <t>IEL</t>
  </si>
  <si>
    <t># Liberaciones Realizadas a tiempo (LR)/ Total de equipos &amp;Herramientas requeridas por pozo (TL)</t>
  </si>
  <si>
    <t>QA / QC
BASE COCA</t>
  </si>
  <si>
    <t>índice de PNC´s levantados por el total de desviaciones observadas en las operaciones Base Coca.</t>
  </si>
  <si>
    <t>IVH</t>
  </si>
  <si>
    <t># de PNC´s levantadas (NCL)  / # desviaciones observadas (DO)</t>
  </si>
  <si>
    <t>≤ 25%</t>
  </si>
  <si>
    <t>Mensual por punch list</t>
  </si>
  <si>
    <t>Porcentaje de Inspecciones vencidas de herramientas/equipos de los Rigs</t>
  </si>
  <si>
    <t># Inspecciones Vencidas (IV)  / # Inspecciones Totales de Herramientas (ITH)</t>
  </si>
  <si>
    <t xml:space="preserve">Cantidad de Inspecciones vencidas de sartas drill pipe de Rigs </t>
  </si>
  <si>
    <t>IVDP</t>
  </si>
  <si>
    <t># Inspecciones Vencidas (IVDP)  / # Inspecciones Totales de Sartas (ITS)</t>
  </si>
  <si>
    <t>≤ 30%</t>
  </si>
  <si>
    <t>1)</t>
  </si>
  <si>
    <t>ÍNDICE DE FRECUENCIA (IF) EN FUNCIÓN DE ACCIDENTES PERSONALES - Comparativo Holding</t>
  </si>
  <si>
    <t>- TBG NOV</t>
  </si>
  <si>
    <t>- CNX NOV</t>
  </si>
  <si>
    <t>- BV NOV</t>
  </si>
  <si>
    <t>- CSH NOV</t>
  </si>
  <si>
    <t>Índice de Frecuencia (IF). Accidentes personales con pérdidas de días</t>
  </si>
  <si>
    <t>Total general</t>
  </si>
  <si>
    <t xml:space="preserve">1.1) Indice de frecuencia TRIBOILGAS </t>
  </si>
  <si>
    <t>- TBG ENE</t>
  </si>
  <si>
    <t>- TBG FEB</t>
  </si>
  <si>
    <t>- TBG MAR</t>
  </si>
  <si>
    <t>- TBG ABR</t>
  </si>
  <si>
    <t>-TBG MAY</t>
  </si>
  <si>
    <t>-TBG JUN</t>
  </si>
  <si>
    <t>- TBG JUL</t>
  </si>
  <si>
    <t>- TBG AGO</t>
  </si>
  <si>
    <t>- TBG SEP</t>
  </si>
  <si>
    <t>- TBG OCT</t>
  </si>
  <si>
    <t>- TBG DIC</t>
  </si>
  <si>
    <t xml:space="preserve">1.2) Indice de frecuencia CONEXPET </t>
  </si>
  <si>
    <t>- CNX ENE</t>
  </si>
  <si>
    <t>- CNX FEB</t>
  </si>
  <si>
    <t>- CNX MAR</t>
  </si>
  <si>
    <t>- CNX ABR</t>
  </si>
  <si>
    <t>- CNX MAY</t>
  </si>
  <si>
    <t>- CNX JUN</t>
  </si>
  <si>
    <t>- CNX JUL</t>
  </si>
  <si>
    <t>- CNX AGO</t>
  </si>
  <si>
    <t>- CNX SEP</t>
  </si>
  <si>
    <t>- CNX OCT</t>
  </si>
  <si>
    <t>- CNX DIC</t>
  </si>
  <si>
    <t xml:space="preserve">1.3) Indice de frecuencia PROYECTO BLANCA VINITA </t>
  </si>
  <si>
    <t>- BV ENE</t>
  </si>
  <si>
    <t>- BV FEB</t>
  </si>
  <si>
    <t>- BV MAR</t>
  </si>
  <si>
    <t>- BV ABR</t>
  </si>
  <si>
    <t>- BV MAY</t>
  </si>
  <si>
    <t>- BV JUN</t>
  </si>
  <si>
    <t>- BV JUL</t>
  </si>
  <si>
    <t>- BV AGO</t>
  </si>
  <si>
    <t>- BV SEP</t>
  </si>
  <si>
    <t>- BV OCT</t>
  </si>
  <si>
    <t>- BV DIC</t>
  </si>
  <si>
    <t xml:space="preserve">1.4) Indice de frecuencia TURCONAGRO </t>
  </si>
  <si>
    <t>- TUR ENE</t>
  </si>
  <si>
    <t>- TUR FEB</t>
  </si>
  <si>
    <t>- TUR MAR</t>
  </si>
  <si>
    <t>- TUR ABR</t>
  </si>
  <si>
    <t>-TUR MAY</t>
  </si>
  <si>
    <t>-TUR JUN</t>
  </si>
  <si>
    <t>- TUR JUL</t>
  </si>
  <si>
    <t>- TUR AGO</t>
  </si>
  <si>
    <t>- TUR SEP</t>
  </si>
  <si>
    <t>- TUR OCT</t>
  </si>
  <si>
    <t>- TUR NOV</t>
  </si>
  <si>
    <t>- TUR DIC</t>
  </si>
  <si>
    <t>1.4 ) Indice de frecuencia CONSHORAMA</t>
  </si>
  <si>
    <t>- CSH ENE</t>
  </si>
  <si>
    <t>- CSH FEB</t>
  </si>
  <si>
    <t>-CSH MAR</t>
  </si>
  <si>
    <t>- CSH ABR</t>
  </si>
  <si>
    <t>- CSH MAY</t>
  </si>
  <si>
    <t>-CSH JUN</t>
  </si>
  <si>
    <t>- CSH JUL</t>
  </si>
  <si>
    <t>- CSH AGO</t>
  </si>
  <si>
    <t>- CSH SEP</t>
  </si>
  <si>
    <t>- CSH OCT</t>
  </si>
  <si>
    <t>- CSH DIC</t>
  </si>
  <si>
    <t>2)</t>
  </si>
  <si>
    <t>INDICE DE SINIESTRALIDAD</t>
  </si>
  <si>
    <t>3)</t>
  </si>
  <si>
    <t>INDICE FRECUENCIA (MCV) EN FUNCIÓN DE ACCIDENTES VEHICULARES - Comparativo Holding</t>
  </si>
  <si>
    <t>4)</t>
  </si>
  <si>
    <t>PROGRAMA CERO (Generación y Cierre de Tarjetas)</t>
  </si>
  <si>
    <t>Generación de Tarjetas Cero</t>
  </si>
  <si>
    <t>5)</t>
  </si>
  <si>
    <t>GESTIÓN DE SEGURIDAD INDUSTRIAL</t>
  </si>
  <si>
    <t>6)</t>
  </si>
  <si>
    <t>GESTIÓN DE SALUD OCUPACIONAL</t>
  </si>
  <si>
    <t>7)</t>
  </si>
  <si>
    <t>GESTIÓN AMBIENTAL</t>
  </si>
  <si>
    <t>-TBG NOV</t>
  </si>
  <si>
    <t>Índice de desempeño ambiental global</t>
  </si>
  <si>
    <t>Productos químicos de limpieza biodegradables</t>
  </si>
  <si>
    <t>Innovación tecnológica</t>
  </si>
  <si>
    <t>* NO APLICA</t>
  </si>
  <si>
    <t>8)</t>
  </si>
  <si>
    <t>GESTIÓN DE RELACIONES COMUNITARIAS PROYECTO BLANCA VINITA</t>
  </si>
  <si>
    <t>9)</t>
  </si>
  <si>
    <t>GESTIÓN DE QA/QC OPERACIONES BLANCA VINITA</t>
  </si>
  <si>
    <t>10)</t>
  </si>
  <si>
    <t xml:space="preserve">GESTIÓN DE QA/QC TRIBOILGAS BASE COCA </t>
  </si>
  <si>
    <t>-TBG FEB</t>
  </si>
  <si>
    <t>-TBG MAR</t>
  </si>
  <si>
    <t>-TBG ABR</t>
  </si>
  <si>
    <t>- TBG MAY</t>
  </si>
  <si>
    <t>- TBG JUN</t>
  </si>
  <si>
    <r>
      <t>Informe Preparado por:</t>
    </r>
    <r>
      <rPr>
        <b/>
        <sz val="12"/>
        <color rgb="FF0070C0"/>
        <rFont val="Century Gothic"/>
        <family val="2"/>
      </rPr>
      <t xml:space="preserve"> Ing. Danilo Reinoso</t>
    </r>
    <r>
      <rPr>
        <b/>
        <sz val="12"/>
        <rFont val="Century Gothic"/>
        <family val="2"/>
      </rPr>
      <t xml:space="preserve"> / Ing. Diego Cushi</t>
    </r>
  </si>
  <si>
    <t>CÓDIGO:
F-HSE-78</t>
  </si>
  <si>
    <t>Fecha de emisión: 01-02-2022</t>
  </si>
  <si>
    <t>Página 1 de 1</t>
  </si>
  <si>
    <r>
      <t xml:space="preserve">Aprobación por: 
</t>
    </r>
    <r>
      <rPr>
        <sz val="12"/>
        <rFont val="Century Gothic"/>
        <family val="2"/>
      </rPr>
      <t>Ing. Diego Cushi (Jefe HSE)</t>
    </r>
  </si>
  <si>
    <r>
      <t xml:space="preserve">Reporte preparado por: 
</t>
    </r>
    <r>
      <rPr>
        <sz val="12"/>
        <rFont val="Century Gothic"/>
        <family val="2"/>
      </rPr>
      <t>Ing. Oscar Aldaz / Ing. Jhonny Hilbay / Ing. Ronald Rumipamba / Dr. César Rojas / Dra. Melkys Cervantes</t>
    </r>
  </si>
  <si>
    <t>Control y seguImiento de cierre de casos de Accidentes de trabajo con el IESS</t>
  </si>
  <si>
    <t>NA</t>
  </si>
  <si>
    <t>Fecha de actualización: 23/06/2025</t>
  </si>
  <si>
    <t>Versión: 03</t>
  </si>
  <si>
    <t>N/A</t>
  </si>
  <si>
    <t xml:space="preserve"> OBJETIVOS E INDICADORES HSE - GRUPO EMPRESARIAL 2025</t>
  </si>
  <si>
    <r>
      <t xml:space="preserve">Revisado por: </t>
    </r>
    <r>
      <rPr>
        <b/>
        <sz val="12"/>
        <color rgb="FF0070C0"/>
        <rFont val="Century Gothic"/>
        <family val="2"/>
      </rPr>
      <t>Diego Cushi</t>
    </r>
  </si>
  <si>
    <r>
      <t xml:space="preserve">Periodo de Reporte: </t>
    </r>
    <r>
      <rPr>
        <b/>
        <sz val="12"/>
        <color rgb="FF0070C0"/>
        <rFont val="Century Gothic"/>
        <family val="2"/>
      </rPr>
      <t xml:space="preserve">Corte al </t>
    </r>
    <r>
      <rPr>
        <b/>
        <sz val="12"/>
        <rFont val="Century Gothic"/>
        <family val="2"/>
      </rPr>
      <t>30/06/2025</t>
    </r>
  </si>
  <si>
    <t>MATRIZ DE INDICADORES HSE 
GRUPO EMPRESARIAL 2026</t>
  </si>
  <si>
    <r>
      <t xml:space="preserve">Fecha de actualización: 
</t>
    </r>
    <r>
      <rPr>
        <sz val="12"/>
        <color rgb="FF0070C0"/>
        <rFont val="Century Gothic"/>
        <family val="2"/>
      </rPr>
      <t>01-11-2026</t>
    </r>
  </si>
  <si>
    <t>META 2026</t>
  </si>
  <si>
    <t>Generación de tarjetas cero</t>
  </si>
  <si>
    <t>((# de tarjetas generadas)/(#. de tarjetas planificadas))*100</t>
  </si>
  <si>
    <t>≥ 1,25%x trimestre</t>
  </si>
  <si>
    <t>≥ 1% x trimestre</t>
  </si>
  <si>
    <t>[(# Valoraciones médicas realizadas/ # Valoraciones médicas programadas)] X 100</t>
  </si>
  <si>
    <t>(kg de residuos solidos comunes entregados a gestor con manifiesto / kg totales de residuos solidos comunes generados) X 100</t>
  </si>
  <si>
    <t>(kg de residuos peligrosos entregados a gestor con manifiesto / kg totales de residuos peligrosos generados) X 100</t>
  </si>
  <si>
    <t>Fecha de actualización: 
01-10-2026</t>
  </si>
  <si>
    <t>Índice de gestión de la Seguridad y Salud en 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</si>
</sst>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8"/>
      <name val="Arial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name val="Century Gothic"/>
      <family val="2"/>
    </font>
    <font>
      <b/>
      <sz val="20"/>
      <name val="Century Gothic"/>
      <family val="2"/>
    </font>
    <font>
      <sz val="11"/>
      <color rgb="FFFF0000"/>
      <name val="Century Gothic"/>
      <family val="2"/>
    </font>
    <font>
      <sz val="10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rgb="FFFF0000"/>
      <name val="Century Gothic"/>
      <family val="2"/>
    </font>
    <font>
      <b/>
      <sz val="12"/>
      <name val="Century Gothic"/>
      <family val="2"/>
    </font>
    <font>
      <sz val="12"/>
      <color rgb="FFFF0000"/>
      <name val="Century Gothic"/>
      <family val="2"/>
    </font>
    <font>
      <b/>
      <sz val="10"/>
      <color theme="0"/>
      <name val="Century Gothic"/>
      <family val="2"/>
    </font>
    <font>
      <b/>
      <sz val="12"/>
      <color rgb="FF0070C0"/>
      <name val="Century Gothic"/>
      <family val="2"/>
    </font>
    <font>
      <b/>
      <sz val="14"/>
      <color theme="1"/>
      <name val="Century Gothic"/>
      <family val="2"/>
    </font>
    <font>
      <sz val="11"/>
      <color theme="0"/>
      <name val="Century Gothic"/>
      <family val="2"/>
    </font>
    <font>
      <sz val="12"/>
      <color theme="0"/>
      <name val="Century Gothic"/>
      <family val="2"/>
    </font>
    <font>
      <b/>
      <sz val="10"/>
      <name val="Arial"/>
      <family val="2"/>
    </font>
    <font>
      <b/>
      <sz val="11"/>
      <color theme="1"/>
      <name val="Century Gothic"/>
      <family val="2"/>
    </font>
    <font>
      <b/>
      <sz val="11"/>
      <color rgb="FFFF0000"/>
      <name val="Century Gothic"/>
      <family val="2"/>
    </font>
    <font>
      <sz val="12"/>
      <color rgb="FF0070C0"/>
      <name val="Century Gothic"/>
      <family val="2"/>
    </font>
    <font>
      <b/>
      <sz val="14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rgb="FF002060"/>
      </patternFill>
    </fill>
    <fill>
      <patternFill patternType="solid">
        <fgColor rgb="FF0070C0"/>
        <bgColor rgb="FF00206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AA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4" fillId="0" borderId="0" applyFont="0" applyFill="0" applyBorder="0" applyAlignment="0" applyProtection="0"/>
  </cellStyleXfs>
  <cellXfs count="56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9" fontId="8" fillId="12" borderId="1" xfId="7" applyFont="1" applyFill="1" applyBorder="1" applyAlignment="1">
      <alignment horizontal="center" vertical="center"/>
    </xf>
    <xf numFmtId="9" fontId="8" fillId="12" borderId="18" xfId="7" applyFont="1" applyFill="1" applyBorder="1" applyAlignment="1">
      <alignment horizontal="center" vertical="center"/>
    </xf>
    <xf numFmtId="9" fontId="8" fillId="12" borderId="17" xfId="7" applyFont="1" applyFill="1" applyBorder="1" applyAlignment="1">
      <alignment horizontal="center" vertical="center"/>
    </xf>
    <xf numFmtId="0" fontId="4" fillId="0" borderId="0" xfId="0" applyFont="1"/>
    <xf numFmtId="0" fontId="4" fillId="0" borderId="6" xfId="0" applyFont="1" applyBorder="1"/>
    <xf numFmtId="0" fontId="4" fillId="0" borderId="21" xfId="0" applyFont="1" applyBorder="1"/>
    <xf numFmtId="9" fontId="4" fillId="0" borderId="0" xfId="7" applyFont="1" applyBorder="1"/>
    <xf numFmtId="0" fontId="4" fillId="0" borderId="8" xfId="0" applyFont="1" applyBorder="1"/>
    <xf numFmtId="0" fontId="4" fillId="0" borderId="22" xfId="0" applyFont="1" applyBorder="1"/>
    <xf numFmtId="0" fontId="4" fillId="0" borderId="5" xfId="0" applyFont="1" applyBorder="1"/>
    <xf numFmtId="0" fontId="4" fillId="12" borderId="0" xfId="0" applyFont="1" applyFill="1"/>
    <xf numFmtId="0" fontId="0" fillId="0" borderId="0" xfId="0" applyAlignment="1">
      <alignment horizontal="center" vertical="center" wrapText="1"/>
    </xf>
    <xf numFmtId="0" fontId="4" fillId="0" borderId="23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9" fontId="8" fillId="12" borderId="14" xfId="7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5" fillId="6" borderId="2" xfId="3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17" fillId="7" borderId="1" xfId="4" applyFont="1" applyFill="1" applyBorder="1" applyAlignment="1">
      <alignment horizontal="center" vertical="center"/>
    </xf>
    <xf numFmtId="9" fontId="8" fillId="12" borderId="29" xfId="7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22" xfId="0" applyNumberFormat="1" applyFont="1" applyBorder="1" applyAlignment="1">
      <alignment horizontal="center" vertical="center"/>
    </xf>
    <xf numFmtId="0" fontId="4" fillId="12" borderId="4" xfId="0" applyFont="1" applyFill="1" applyBorder="1"/>
    <xf numFmtId="0" fontId="4" fillId="12" borderId="16" xfId="0" applyFont="1" applyFill="1" applyBorder="1"/>
    <xf numFmtId="0" fontId="4" fillId="12" borderId="16" xfId="0" applyFont="1" applyFill="1" applyBorder="1" applyAlignment="1">
      <alignment horizontal="center" vertical="center"/>
    </xf>
    <xf numFmtId="0" fontId="4" fillId="12" borderId="7" xfId="0" applyFont="1" applyFill="1" applyBorder="1"/>
    <xf numFmtId="0" fontId="0" fillId="0" borderId="0" xfId="0" applyAlignment="1">
      <alignment vertical="center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/>
    </xf>
    <xf numFmtId="0" fontId="11" fillId="0" borderId="0" xfId="0" applyFont="1"/>
    <xf numFmtId="0" fontId="4" fillId="12" borderId="16" xfId="0" applyFont="1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4" fillId="0" borderId="8" xfId="0" applyFont="1" applyBorder="1" applyAlignment="1">
      <alignment horizontal="center"/>
    </xf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2" fillId="6" borderId="43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/>
    </xf>
    <xf numFmtId="0" fontId="17" fillId="7" borderId="19" xfId="4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 wrapText="1"/>
    </xf>
    <xf numFmtId="2" fontId="8" fillId="12" borderId="32" xfId="0" applyNumberFormat="1" applyFont="1" applyFill="1" applyBorder="1" applyAlignment="1">
      <alignment horizontal="center" vertical="center"/>
    </xf>
    <xf numFmtId="2" fontId="8" fillId="12" borderId="33" xfId="0" applyNumberFormat="1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center" vertical="center"/>
    </xf>
    <xf numFmtId="2" fontId="8" fillId="12" borderId="18" xfId="0" applyNumberFormat="1" applyFont="1" applyFill="1" applyBorder="1" applyAlignment="1">
      <alignment horizontal="center" vertical="center"/>
    </xf>
    <xf numFmtId="2" fontId="8" fillId="12" borderId="14" xfId="0" applyNumberFormat="1" applyFont="1" applyFill="1" applyBorder="1" applyAlignment="1">
      <alignment horizontal="center" vertical="center"/>
    </xf>
    <xf numFmtId="2" fontId="8" fillId="12" borderId="17" xfId="0" applyNumberFormat="1" applyFont="1" applyFill="1" applyBorder="1" applyAlignment="1">
      <alignment horizontal="center" vertical="center"/>
    </xf>
    <xf numFmtId="2" fontId="16" fillId="12" borderId="1" xfId="3" applyNumberFormat="1" applyFont="1" applyFill="1" applyBorder="1" applyAlignment="1" applyProtection="1">
      <alignment horizontal="center" vertical="center" wrapText="1"/>
      <protection locked="0"/>
    </xf>
    <xf numFmtId="9" fontId="8" fillId="12" borderId="34" xfId="7" applyFont="1" applyFill="1" applyBorder="1" applyAlignment="1">
      <alignment horizontal="center" vertical="center"/>
    </xf>
    <xf numFmtId="9" fontId="8" fillId="12" borderId="2" xfId="7" applyFont="1" applyFill="1" applyBorder="1" applyAlignment="1">
      <alignment horizontal="center" vertical="center"/>
    </xf>
    <xf numFmtId="9" fontId="8" fillId="18" borderId="0" xfId="7" applyFont="1" applyFill="1" applyBorder="1" applyAlignment="1">
      <alignment horizontal="center" vertical="center"/>
    </xf>
    <xf numFmtId="9" fontId="8" fillId="12" borderId="9" xfId="7" applyFont="1" applyFill="1" applyBorder="1" applyAlignment="1">
      <alignment horizontal="center" vertical="center"/>
    </xf>
    <xf numFmtId="9" fontId="8" fillId="12" borderId="46" xfId="7" applyFont="1" applyFill="1" applyBorder="1" applyAlignment="1">
      <alignment horizontal="center" vertical="center"/>
    </xf>
    <xf numFmtId="9" fontId="8" fillId="12" borderId="45" xfId="7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9" fontId="8" fillId="18" borderId="16" xfId="7" applyFont="1" applyFill="1" applyBorder="1" applyAlignment="1">
      <alignment horizontal="center" vertical="center"/>
    </xf>
    <xf numFmtId="9" fontId="8" fillId="18" borderId="21" xfId="7" applyFont="1" applyFill="1" applyBorder="1" applyAlignment="1">
      <alignment horizontal="center" vertical="center"/>
    </xf>
    <xf numFmtId="9" fontId="8" fillId="18" borderId="8" xfId="7" applyFont="1" applyFill="1" applyBorder="1" applyAlignment="1">
      <alignment horizontal="center" vertical="center"/>
    </xf>
    <xf numFmtId="9" fontId="8" fillId="18" borderId="22" xfId="7" applyFont="1" applyFill="1" applyBorder="1" applyAlignment="1">
      <alignment horizontal="center" vertical="center"/>
    </xf>
    <xf numFmtId="165" fontId="8" fillId="12" borderId="18" xfId="7" applyNumberFormat="1" applyFont="1" applyFill="1" applyBorder="1" applyAlignment="1">
      <alignment horizontal="center" vertical="center"/>
    </xf>
    <xf numFmtId="165" fontId="8" fillId="12" borderId="1" xfId="7" applyNumberFormat="1" applyFont="1" applyFill="1" applyBorder="1" applyAlignment="1">
      <alignment horizontal="center" vertical="center"/>
    </xf>
    <xf numFmtId="165" fontId="8" fillId="12" borderId="17" xfId="7" applyNumberFormat="1" applyFont="1" applyFill="1" applyBorder="1" applyAlignment="1">
      <alignment horizontal="center" vertical="center"/>
    </xf>
    <xf numFmtId="165" fontId="8" fillId="12" borderId="14" xfId="7" applyNumberFormat="1" applyFont="1" applyFill="1" applyBorder="1" applyAlignment="1">
      <alignment horizontal="center" vertical="center"/>
    </xf>
    <xf numFmtId="10" fontId="8" fillId="12" borderId="18" xfId="7" applyNumberFormat="1" applyFont="1" applyFill="1" applyBorder="1" applyAlignment="1">
      <alignment horizontal="center" vertical="center"/>
    </xf>
    <xf numFmtId="10" fontId="8" fillId="12" borderId="30" xfId="7" applyNumberFormat="1" applyFont="1" applyFill="1" applyBorder="1" applyAlignment="1">
      <alignment horizontal="center" vertical="center"/>
    </xf>
    <xf numFmtId="0" fontId="8" fillId="12" borderId="18" xfId="7" applyNumberFormat="1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4" fillId="12" borderId="11" xfId="0" applyFont="1" applyFill="1" applyBorder="1"/>
    <xf numFmtId="0" fontId="4" fillId="0" borderId="12" xfId="0" applyFont="1" applyBorder="1" applyAlignment="1">
      <alignment horizontal="center" vertical="center"/>
    </xf>
    <xf numFmtId="0" fontId="0" fillId="0" borderId="16" xfId="0" applyBorder="1"/>
    <xf numFmtId="0" fontId="4" fillId="0" borderId="16" xfId="0" applyFont="1" applyBorder="1"/>
    <xf numFmtId="9" fontId="8" fillId="12" borderId="15" xfId="7" applyFont="1" applyFill="1" applyBorder="1" applyAlignment="1">
      <alignment horizontal="center" vertical="center"/>
    </xf>
    <xf numFmtId="10" fontId="8" fillId="12" borderId="29" xfId="7" applyNumberFormat="1" applyFont="1" applyFill="1" applyBorder="1" applyAlignment="1">
      <alignment horizontal="center" vertical="center"/>
    </xf>
    <xf numFmtId="10" fontId="8" fillId="12" borderId="1" xfId="7" applyNumberFormat="1" applyFont="1" applyFill="1" applyBorder="1" applyAlignment="1">
      <alignment horizontal="center" vertical="center"/>
    </xf>
    <xf numFmtId="10" fontId="8" fillId="12" borderId="9" xfId="7" applyNumberFormat="1" applyFont="1" applyFill="1" applyBorder="1" applyAlignment="1">
      <alignment horizontal="center" vertical="center"/>
    </xf>
    <xf numFmtId="10" fontId="8" fillId="12" borderId="47" xfId="7" applyNumberFormat="1" applyFont="1" applyFill="1" applyBorder="1" applyAlignment="1">
      <alignment horizontal="center" vertical="center"/>
    </xf>
    <xf numFmtId="10" fontId="8" fillId="12" borderId="44" xfId="7" applyNumberFormat="1" applyFont="1" applyFill="1" applyBorder="1" applyAlignment="1">
      <alignment horizontal="center" vertical="center"/>
    </xf>
    <xf numFmtId="10" fontId="8" fillId="12" borderId="46" xfId="7" applyNumberFormat="1" applyFont="1" applyFill="1" applyBorder="1" applyAlignment="1">
      <alignment horizontal="center" vertical="center"/>
    </xf>
    <xf numFmtId="10" fontId="8" fillId="12" borderId="17" xfId="7" applyNumberFormat="1" applyFont="1" applyFill="1" applyBorder="1" applyAlignment="1">
      <alignment horizontal="center" vertical="center"/>
    </xf>
    <xf numFmtId="2" fontId="8" fillId="12" borderId="2" xfId="0" applyNumberFormat="1" applyFont="1" applyFill="1" applyBorder="1" applyAlignment="1">
      <alignment horizontal="center" vertical="center"/>
    </xf>
    <xf numFmtId="2" fontId="8" fillId="12" borderId="43" xfId="0" applyNumberFormat="1" applyFont="1" applyFill="1" applyBorder="1" applyAlignment="1">
      <alignment horizontal="center" vertical="center"/>
    </xf>
    <xf numFmtId="2" fontId="8" fillId="12" borderId="47" xfId="0" applyNumberFormat="1" applyFont="1" applyFill="1" applyBorder="1" applyAlignment="1">
      <alignment horizontal="center" vertical="center"/>
    </xf>
    <xf numFmtId="165" fontId="8" fillId="0" borderId="18" xfId="7" applyNumberFormat="1" applyFont="1" applyFill="1" applyBorder="1" applyAlignment="1">
      <alignment horizontal="center" vertical="center"/>
    </xf>
    <xf numFmtId="165" fontId="8" fillId="0" borderId="1" xfId="7" applyNumberFormat="1" applyFont="1" applyFill="1" applyBorder="1" applyAlignment="1">
      <alignment horizontal="center" vertical="center"/>
    </xf>
    <xf numFmtId="165" fontId="8" fillId="0" borderId="17" xfId="7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9" fontId="8" fillId="0" borderId="29" xfId="7" applyFont="1" applyFill="1" applyBorder="1" applyAlignment="1">
      <alignment horizontal="center" vertical="center"/>
    </xf>
    <xf numFmtId="9" fontId="8" fillId="0" borderId="1" xfId="7" applyFont="1" applyFill="1" applyBorder="1" applyAlignment="1">
      <alignment horizontal="center" vertical="center"/>
    </xf>
    <xf numFmtId="9" fontId="8" fillId="0" borderId="14" xfId="7" applyFont="1" applyFill="1" applyBorder="1" applyAlignment="1">
      <alignment horizontal="center" vertical="center"/>
    </xf>
    <xf numFmtId="165" fontId="8" fillId="0" borderId="29" xfId="7" applyNumberFormat="1" applyFont="1" applyFill="1" applyBorder="1" applyAlignment="1">
      <alignment horizontal="center" vertical="center"/>
    </xf>
    <xf numFmtId="165" fontId="8" fillId="0" borderId="14" xfId="7" applyNumberFormat="1" applyFont="1" applyFill="1" applyBorder="1" applyAlignment="1">
      <alignment horizontal="center" vertical="center"/>
    </xf>
    <xf numFmtId="0" fontId="8" fillId="0" borderId="18" xfId="7" applyNumberFormat="1" applyFont="1" applyFill="1" applyBorder="1" applyAlignment="1">
      <alignment horizontal="center" vertical="center"/>
    </xf>
    <xf numFmtId="10" fontId="8" fillId="0" borderId="18" xfId="7" applyNumberFormat="1" applyFont="1" applyFill="1" applyBorder="1" applyAlignment="1">
      <alignment horizontal="center" vertical="center"/>
    </xf>
    <xf numFmtId="9" fontId="8" fillId="0" borderId="18" xfId="7" applyFont="1" applyFill="1" applyBorder="1" applyAlignment="1">
      <alignment horizontal="center" vertical="center"/>
    </xf>
    <xf numFmtId="9" fontId="8" fillId="0" borderId="17" xfId="7" applyFont="1" applyFill="1" applyBorder="1" applyAlignment="1">
      <alignment horizontal="center" vertical="center"/>
    </xf>
    <xf numFmtId="9" fontId="8" fillId="0" borderId="9" xfId="7" applyFont="1" applyFill="1" applyBorder="1" applyAlignment="1">
      <alignment horizontal="center" vertical="center"/>
    </xf>
    <xf numFmtId="10" fontId="8" fillId="0" borderId="1" xfId="7" applyNumberFormat="1" applyFont="1" applyFill="1" applyBorder="1" applyAlignment="1">
      <alignment horizontal="center" vertical="center"/>
    </xf>
    <xf numFmtId="10" fontId="8" fillId="0" borderId="29" xfId="7" applyNumberFormat="1" applyFont="1" applyFill="1" applyBorder="1" applyAlignment="1">
      <alignment horizontal="center" vertical="center"/>
    </xf>
    <xf numFmtId="0" fontId="5" fillId="6" borderId="47" xfId="4" applyFont="1" applyFill="1" applyBorder="1" applyAlignment="1">
      <alignment horizontal="center" vertical="center"/>
    </xf>
    <xf numFmtId="0" fontId="5" fillId="7" borderId="17" xfId="4" applyFont="1" applyFill="1" applyBorder="1" applyAlignment="1">
      <alignment horizontal="center" vertical="center" wrapText="1"/>
    </xf>
    <xf numFmtId="0" fontId="5" fillId="7" borderId="17" xfId="4" applyFont="1" applyFill="1" applyBorder="1" applyAlignment="1">
      <alignment horizontal="center" vertical="center"/>
    </xf>
    <xf numFmtId="0" fontId="5" fillId="7" borderId="20" xfId="4" applyFont="1" applyFill="1" applyBorder="1" applyAlignment="1">
      <alignment horizontal="center" vertical="center"/>
    </xf>
    <xf numFmtId="0" fontId="9" fillId="6" borderId="2" xfId="3" applyFont="1" applyFill="1" applyBorder="1" applyAlignment="1">
      <alignment horizontal="center" vertical="center" wrapText="1"/>
    </xf>
    <xf numFmtId="0" fontId="5" fillId="6" borderId="2" xfId="3" applyFont="1" applyFill="1" applyBorder="1" applyAlignment="1">
      <alignment horizontal="center" vertical="center" wrapText="1"/>
    </xf>
    <xf numFmtId="0" fontId="9" fillId="6" borderId="1" xfId="3" applyFont="1" applyFill="1" applyBorder="1" applyAlignment="1">
      <alignment horizontal="center" vertical="center" wrapText="1"/>
    </xf>
    <xf numFmtId="0" fontId="3" fillId="6" borderId="1" xfId="3" applyFont="1" applyFill="1" applyBorder="1" applyAlignment="1">
      <alignment horizontal="center" vertical="center" wrapText="1"/>
    </xf>
    <xf numFmtId="0" fontId="4" fillId="6" borderId="2" xfId="3" applyFont="1" applyFill="1" applyBorder="1" applyAlignment="1">
      <alignment horizontal="center" vertical="center" wrapText="1"/>
    </xf>
    <xf numFmtId="0" fontId="9" fillId="7" borderId="1" xfId="3" applyFont="1" applyFill="1" applyBorder="1" applyAlignment="1">
      <alignment horizontal="center" vertical="center" wrapText="1"/>
    </xf>
    <xf numFmtId="0" fontId="5" fillId="7" borderId="1" xfId="3" applyFont="1" applyFill="1" applyBorder="1" applyAlignment="1">
      <alignment horizontal="center" vertical="center" wrapText="1"/>
    </xf>
    <xf numFmtId="0" fontId="9" fillId="7" borderId="19" xfId="3" applyFont="1" applyFill="1" applyBorder="1" applyAlignment="1">
      <alignment horizontal="center" vertical="center" wrapText="1"/>
    </xf>
    <xf numFmtId="0" fontId="5" fillId="7" borderId="19" xfId="3" applyFont="1" applyFill="1" applyBorder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20" fillId="8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13" borderId="23" xfId="0" applyFont="1" applyFill="1" applyBorder="1"/>
    <xf numFmtId="0" fontId="23" fillId="13" borderId="11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26" xfId="0" applyFont="1" applyFill="1" applyBorder="1" applyAlignment="1">
      <alignment horizontal="center" vertical="center"/>
    </xf>
    <xf numFmtId="0" fontId="23" fillId="13" borderId="28" xfId="0" applyFont="1" applyFill="1" applyBorder="1" applyAlignment="1">
      <alignment horizontal="center" vertical="center"/>
    </xf>
    <xf numFmtId="0" fontId="23" fillId="13" borderId="13" xfId="0" applyFont="1" applyFill="1" applyBorder="1" applyAlignment="1">
      <alignment horizontal="center" vertical="center"/>
    </xf>
    <xf numFmtId="0" fontId="23" fillId="13" borderId="5" xfId="0" applyFont="1" applyFill="1" applyBorder="1" applyAlignment="1">
      <alignment horizontal="center" vertical="center"/>
    </xf>
    <xf numFmtId="0" fontId="23" fillId="13" borderId="6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23" fillId="2" borderId="5" xfId="0" applyFont="1" applyFill="1" applyBorder="1"/>
    <xf numFmtId="0" fontId="23" fillId="2" borderId="11" xfId="0" applyFont="1" applyFill="1" applyBorder="1"/>
    <xf numFmtId="0" fontId="23" fillId="2" borderId="12" xfId="0" applyFont="1" applyFill="1" applyBorder="1"/>
    <xf numFmtId="0" fontId="23" fillId="2" borderId="13" xfId="0" applyFont="1" applyFill="1" applyBorder="1"/>
    <xf numFmtId="0" fontId="23" fillId="2" borderId="6" xfId="0" applyFont="1" applyFill="1" applyBorder="1"/>
    <xf numFmtId="0" fontId="3" fillId="5" borderId="5" xfId="0" applyFont="1" applyFill="1" applyBorder="1"/>
    <xf numFmtId="0" fontId="3" fillId="5" borderId="12" xfId="0" applyFont="1" applyFill="1" applyBorder="1"/>
    <xf numFmtId="0" fontId="9" fillId="5" borderId="26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3" fillId="5" borderId="6" xfId="0" applyFont="1" applyFill="1" applyBorder="1"/>
    <xf numFmtId="0" fontId="23" fillId="10" borderId="5" xfId="0" applyFont="1" applyFill="1" applyBorder="1"/>
    <xf numFmtId="0" fontId="23" fillId="10" borderId="11" xfId="0" applyFont="1" applyFill="1" applyBorder="1"/>
    <xf numFmtId="0" fontId="23" fillId="10" borderId="12" xfId="0" applyFont="1" applyFill="1" applyBorder="1"/>
    <xf numFmtId="0" fontId="23" fillId="10" borderId="27" xfId="0" applyFont="1" applyFill="1" applyBorder="1" applyAlignment="1">
      <alignment horizontal="center" vertical="center"/>
    </xf>
    <xf numFmtId="0" fontId="23" fillId="10" borderId="28" xfId="0" applyFont="1" applyFill="1" applyBorder="1" applyAlignment="1">
      <alignment horizontal="center" vertical="center"/>
    </xf>
    <xf numFmtId="0" fontId="23" fillId="10" borderId="13" xfId="0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0" fontId="23" fillId="10" borderId="6" xfId="0" applyFont="1" applyFill="1" applyBorder="1"/>
    <xf numFmtId="0" fontId="23" fillId="9" borderId="5" xfId="0" applyFont="1" applyFill="1" applyBorder="1"/>
    <xf numFmtId="0" fontId="23" fillId="9" borderId="23" xfId="0" applyFont="1" applyFill="1" applyBorder="1"/>
    <xf numFmtId="0" fontId="23" fillId="9" borderId="23" xfId="0" applyFont="1" applyFill="1" applyBorder="1" applyAlignment="1">
      <alignment horizontal="center" vertical="center"/>
    </xf>
    <xf numFmtId="0" fontId="23" fillId="9" borderId="13" xfId="0" applyFont="1" applyFill="1" applyBorder="1"/>
    <xf numFmtId="0" fontId="23" fillId="9" borderId="6" xfId="0" applyFont="1" applyFill="1" applyBorder="1"/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23" fillId="14" borderId="23" xfId="0" applyFont="1" applyFill="1" applyBorder="1" applyAlignment="1">
      <alignment horizontal="left" vertical="center"/>
    </xf>
    <xf numFmtId="0" fontId="3" fillId="0" borderId="25" xfId="0" applyFont="1" applyBorder="1" applyAlignment="1">
      <alignment horizontal="left"/>
    </xf>
    <xf numFmtId="9" fontId="3" fillId="0" borderId="4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left"/>
    </xf>
    <xf numFmtId="9" fontId="3" fillId="0" borderId="7" xfId="0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9" fontId="3" fillId="0" borderId="22" xfId="0" applyNumberFormat="1" applyFont="1" applyBorder="1" applyAlignment="1">
      <alignment horizontal="center" vertical="center"/>
    </xf>
    <xf numFmtId="0" fontId="23" fillId="15" borderId="23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left"/>
    </xf>
    <xf numFmtId="9" fontId="3" fillId="0" borderId="18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17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left"/>
    </xf>
    <xf numFmtId="9" fontId="3" fillId="0" borderId="30" xfId="0" applyNumberFormat="1" applyFont="1" applyBorder="1" applyAlignment="1">
      <alignment horizontal="center" vertical="center"/>
    </xf>
    <xf numFmtId="9" fontId="3" fillId="0" borderId="19" xfId="0" applyNumberFormat="1" applyFont="1" applyBorder="1" applyAlignment="1">
      <alignment horizontal="center" vertical="center"/>
    </xf>
    <xf numFmtId="9" fontId="3" fillId="0" borderId="20" xfId="0" applyNumberFormat="1" applyFont="1" applyBorder="1" applyAlignment="1">
      <alignment horizontal="center" vertical="center"/>
    </xf>
    <xf numFmtId="0" fontId="24" fillId="15" borderId="23" xfId="0" applyFont="1" applyFill="1" applyBorder="1" applyAlignment="1">
      <alignment horizontal="left" vertical="center"/>
    </xf>
    <xf numFmtId="0" fontId="8" fillId="0" borderId="5" xfId="0" applyFont="1" applyBorder="1"/>
    <xf numFmtId="0" fontId="8" fillId="0" borderId="6" xfId="0" applyFont="1" applyBorder="1"/>
    <xf numFmtId="0" fontId="8" fillId="0" borderId="23" xfId="0" applyFont="1" applyBorder="1" applyAlignment="1">
      <alignment horizontal="left"/>
    </xf>
    <xf numFmtId="9" fontId="8" fillId="0" borderId="11" xfId="0" applyNumberFormat="1" applyFont="1" applyBorder="1" applyAlignment="1">
      <alignment horizontal="center" vertical="center"/>
    </xf>
    <xf numFmtId="9" fontId="8" fillId="0" borderId="12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horizontal="left"/>
    </xf>
    <xf numFmtId="9" fontId="3" fillId="0" borderId="16" xfId="0" applyNumberFormat="1" applyFont="1" applyBorder="1" applyAlignment="1">
      <alignment horizontal="center" vertical="center"/>
    </xf>
    <xf numFmtId="9" fontId="3" fillId="0" borderId="21" xfId="0" applyNumberFormat="1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9" fontId="8" fillId="0" borderId="26" xfId="0" applyNumberFormat="1" applyFont="1" applyBorder="1" applyAlignment="1">
      <alignment horizontal="center" vertical="center"/>
    </xf>
    <xf numFmtId="9" fontId="8" fillId="0" borderId="27" xfId="0" applyNumberFormat="1" applyFont="1" applyBorder="1" applyAlignment="1">
      <alignment horizontal="center" vertical="center"/>
    </xf>
    <xf numFmtId="9" fontId="8" fillId="0" borderId="28" xfId="0" applyNumberFormat="1" applyFont="1" applyBorder="1" applyAlignment="1">
      <alignment horizontal="center" vertical="center"/>
    </xf>
    <xf numFmtId="9" fontId="8" fillId="0" borderId="7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/>
    </xf>
    <xf numFmtId="0" fontId="23" fillId="8" borderId="23" xfId="0" applyFont="1" applyFill="1" applyBorder="1" applyAlignment="1">
      <alignment vertical="center" wrapText="1"/>
    </xf>
    <xf numFmtId="9" fontId="8" fillId="12" borderId="44" xfId="7" applyFont="1" applyFill="1" applyBorder="1" applyAlignment="1">
      <alignment horizontal="center" vertical="center"/>
    </xf>
    <xf numFmtId="10" fontId="8" fillId="0" borderId="34" xfId="7" applyNumberFormat="1" applyFont="1" applyFill="1" applyBorder="1" applyAlignment="1">
      <alignment horizontal="center" vertical="center"/>
    </xf>
    <xf numFmtId="10" fontId="8" fillId="0" borderId="30" xfId="7" applyNumberFormat="1" applyFont="1" applyFill="1" applyBorder="1" applyAlignment="1">
      <alignment horizontal="center" vertical="center"/>
    </xf>
    <xf numFmtId="9" fontId="8" fillId="18" borderId="7" xfId="7" applyFont="1" applyFill="1" applyBorder="1" applyAlignment="1">
      <alignment horizontal="center" vertical="center"/>
    </xf>
    <xf numFmtId="10" fontId="8" fillId="0" borderId="9" xfId="7" applyNumberFormat="1" applyFont="1" applyFill="1" applyBorder="1" applyAlignment="1">
      <alignment horizontal="center" vertical="center"/>
    </xf>
    <xf numFmtId="10" fontId="8" fillId="5" borderId="30" xfId="7" applyNumberFormat="1" applyFont="1" applyFill="1" applyBorder="1" applyAlignment="1">
      <alignment horizontal="center" vertical="center"/>
    </xf>
    <xf numFmtId="1" fontId="8" fillId="0" borderId="18" xfId="7" applyNumberFormat="1" applyFont="1" applyFill="1" applyBorder="1" applyAlignment="1">
      <alignment horizontal="center" vertical="center"/>
    </xf>
    <xf numFmtId="1" fontId="8" fillId="12" borderId="2" xfId="7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left"/>
    </xf>
    <xf numFmtId="0" fontId="23" fillId="13" borderId="23" xfId="0" applyFont="1" applyFill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23" fillId="9" borderId="41" xfId="0" applyFont="1" applyFill="1" applyBorder="1"/>
    <xf numFmtId="0" fontId="3" fillId="0" borderId="41" xfId="0" applyFont="1" applyBorder="1" applyAlignment="1">
      <alignment horizontal="left" vertical="center" wrapText="1"/>
    </xf>
    <xf numFmtId="0" fontId="23" fillId="9" borderId="4" xfId="0" applyFont="1" applyFill="1" applyBorder="1"/>
    <xf numFmtId="0" fontId="9" fillId="5" borderId="23" xfId="0" applyFont="1" applyFill="1" applyBorder="1"/>
    <xf numFmtId="0" fontId="3" fillId="5" borderId="4" xfId="0" applyFont="1" applyFill="1" applyBorder="1"/>
    <xf numFmtId="0" fontId="23" fillId="15" borderId="49" xfId="0" applyFont="1" applyFill="1" applyBorder="1" applyAlignment="1">
      <alignment vertical="center" wrapText="1"/>
    </xf>
    <xf numFmtId="0" fontId="8" fillId="0" borderId="4" xfId="0" applyFont="1" applyBorder="1"/>
    <xf numFmtId="9" fontId="3" fillId="0" borderId="31" xfId="0" applyNumberFormat="1" applyFont="1" applyBorder="1" applyAlignment="1">
      <alignment horizontal="center" vertical="center" wrapText="1"/>
    </xf>
    <xf numFmtId="9" fontId="3" fillId="0" borderId="32" xfId="0" applyNumberFormat="1" applyFont="1" applyBorder="1" applyAlignment="1">
      <alignment horizontal="center" vertical="center" wrapText="1"/>
    </xf>
    <xf numFmtId="9" fontId="3" fillId="0" borderId="33" xfId="0" applyNumberFormat="1" applyFont="1" applyBorder="1" applyAlignment="1">
      <alignment horizontal="center" vertical="center" wrapText="1"/>
    </xf>
    <xf numFmtId="9" fontId="3" fillId="0" borderId="30" xfId="0" applyNumberFormat="1" applyFont="1" applyBorder="1" applyAlignment="1">
      <alignment horizontal="center" vertical="center" wrapText="1"/>
    </xf>
    <xf numFmtId="9" fontId="3" fillId="0" borderId="19" xfId="0" applyNumberFormat="1" applyFont="1" applyBorder="1" applyAlignment="1">
      <alignment horizontal="center" vertical="center" wrapText="1"/>
    </xf>
    <xf numFmtId="9" fontId="3" fillId="0" borderId="20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3" fillId="2" borderId="23" xfId="0" applyFont="1" applyFill="1" applyBorder="1"/>
    <xf numFmtId="0" fontId="23" fillId="2" borderId="4" xfId="0" applyFont="1" applyFill="1" applyBorder="1"/>
    <xf numFmtId="0" fontId="23" fillId="10" borderId="41" xfId="0" applyFont="1" applyFill="1" applyBorder="1"/>
    <xf numFmtId="0" fontId="23" fillId="10" borderId="4" xfId="0" applyFont="1" applyFill="1" applyBorder="1"/>
    <xf numFmtId="9" fontId="8" fillId="12" borderId="19" xfId="7" applyFont="1" applyFill="1" applyBorder="1" applyAlignment="1">
      <alignment horizontal="center" vertical="center"/>
    </xf>
    <xf numFmtId="9" fontId="8" fillId="18" borderId="50" xfId="7" applyFont="1" applyFill="1" applyBorder="1" applyAlignment="1">
      <alignment horizontal="center" vertical="center"/>
    </xf>
    <xf numFmtId="10" fontId="8" fillId="12" borderId="50" xfId="7" applyNumberFormat="1" applyFont="1" applyFill="1" applyBorder="1" applyAlignment="1">
      <alignment horizontal="center" vertical="center"/>
    </xf>
    <xf numFmtId="10" fontId="8" fillId="12" borderId="51" xfId="7" applyNumberFormat="1" applyFont="1" applyFill="1" applyBorder="1" applyAlignment="1">
      <alignment horizontal="center" vertical="center"/>
    </xf>
    <xf numFmtId="10" fontId="8" fillId="12" borderId="52" xfId="7" applyNumberFormat="1" applyFont="1" applyFill="1" applyBorder="1" applyAlignment="1">
      <alignment horizontal="center" vertical="center"/>
    </xf>
    <xf numFmtId="2" fontId="8" fillId="12" borderId="52" xfId="0" applyNumberFormat="1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25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/>
    </xf>
    <xf numFmtId="0" fontId="25" fillId="16" borderId="0" xfId="0" applyFont="1" applyFill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12" borderId="26" xfId="0" applyFont="1" applyFill="1" applyBorder="1" applyAlignment="1">
      <alignment horizontal="center" vertical="center" wrapText="1"/>
    </xf>
    <xf numFmtId="0" fontId="3" fillId="12" borderId="27" xfId="0" applyFont="1" applyFill="1" applyBorder="1" applyAlignment="1">
      <alignment horizontal="center" vertical="center" wrapText="1"/>
    </xf>
    <xf numFmtId="0" fontId="3" fillId="12" borderId="28" xfId="0" applyFont="1" applyFill="1" applyBorder="1" applyAlignment="1">
      <alignment horizontal="center" vertical="center" wrapText="1"/>
    </xf>
    <xf numFmtId="0" fontId="0" fillId="0" borderId="11" xfId="0" applyBorder="1"/>
    <xf numFmtId="1" fontId="8" fillId="12" borderId="10" xfId="7" applyNumberFormat="1" applyFont="1" applyFill="1" applyBorder="1" applyAlignment="1">
      <alignment horizontal="center" vertical="center"/>
    </xf>
    <xf numFmtId="9" fontId="8" fillId="12" borderId="54" xfId="7" applyFont="1" applyFill="1" applyBorder="1" applyAlignment="1">
      <alignment horizontal="center" vertical="center"/>
    </xf>
    <xf numFmtId="2" fontId="8" fillId="12" borderId="46" xfId="7" applyNumberFormat="1" applyFont="1" applyFill="1" applyBorder="1" applyAlignment="1">
      <alignment horizontal="center" vertical="center"/>
    </xf>
    <xf numFmtId="10" fontId="8" fillId="12" borderId="55" xfId="7" applyNumberFormat="1" applyFont="1" applyFill="1" applyBorder="1" applyAlignment="1">
      <alignment horizontal="center" vertical="center"/>
    </xf>
    <xf numFmtId="10" fontId="8" fillId="12" borderId="56" xfId="7" applyNumberFormat="1" applyFont="1" applyFill="1" applyBorder="1" applyAlignment="1">
      <alignment horizontal="center" vertical="center"/>
    </xf>
    <xf numFmtId="10" fontId="8" fillId="12" borderId="10" xfId="7" applyNumberFormat="1" applyFont="1" applyFill="1" applyBorder="1" applyAlignment="1">
      <alignment horizontal="center" vertical="center"/>
    </xf>
    <xf numFmtId="10" fontId="8" fillId="12" borderId="21" xfId="7" applyNumberFormat="1" applyFont="1" applyFill="1" applyBorder="1" applyAlignment="1">
      <alignment horizontal="center" vertical="center"/>
    </xf>
    <xf numFmtId="2" fontId="8" fillId="12" borderId="21" xfId="0" applyNumberFormat="1" applyFont="1" applyFill="1" applyBorder="1" applyAlignment="1">
      <alignment horizontal="center" vertical="center"/>
    </xf>
    <xf numFmtId="9" fontId="8" fillId="12" borderId="0" xfId="7" applyFont="1" applyFill="1" applyBorder="1" applyAlignment="1">
      <alignment horizontal="center" vertical="center"/>
    </xf>
    <xf numFmtId="9" fontId="8" fillId="12" borderId="21" xfId="7" applyFont="1" applyFill="1" applyBorder="1" applyAlignment="1">
      <alignment horizontal="center" vertical="center"/>
    </xf>
    <xf numFmtId="9" fontId="8" fillId="12" borderId="16" xfId="7" applyFont="1" applyFill="1" applyBorder="1" applyAlignment="1">
      <alignment horizontal="center" vertical="center"/>
    </xf>
    <xf numFmtId="0" fontId="9" fillId="0" borderId="2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9" fillId="0" borderId="32" xfId="3" applyFont="1" applyBorder="1" applyAlignment="1">
      <alignment horizontal="center" vertical="center" wrapText="1"/>
    </xf>
    <xf numFmtId="0" fontId="9" fillId="0" borderId="19" xfId="3" applyFont="1" applyBorder="1" applyAlignment="1">
      <alignment horizontal="center" vertical="center" wrapText="1"/>
    </xf>
    <xf numFmtId="0" fontId="9" fillId="0" borderId="48" xfId="3" applyFont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9" fillId="0" borderId="58" xfId="3" applyFont="1" applyBorder="1" applyAlignment="1">
      <alignment horizontal="center" vertical="center" wrapText="1"/>
    </xf>
    <xf numFmtId="0" fontId="9" fillId="0" borderId="36" xfId="3" applyFont="1" applyBorder="1" applyAlignment="1">
      <alignment horizontal="center" vertical="center" wrapText="1"/>
    </xf>
    <xf numFmtId="0" fontId="9" fillId="0" borderId="34" xfId="3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6" fillId="0" borderId="2" xfId="3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9" fillId="0" borderId="47" xfId="4" applyFont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9" fillId="0" borderId="33" xfId="4" applyFont="1" applyBorder="1" applyAlignment="1">
      <alignment horizontal="center" vertical="center"/>
    </xf>
    <xf numFmtId="0" fontId="11" fillId="11" borderId="57" xfId="0" applyFont="1" applyFill="1" applyBorder="1" applyAlignment="1">
      <alignment horizontal="center" vertical="center" wrapText="1"/>
    </xf>
    <xf numFmtId="0" fontId="11" fillId="11" borderId="62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 wrapText="1"/>
    </xf>
    <xf numFmtId="0" fontId="9" fillId="0" borderId="20" xfId="4" applyFont="1" applyBorder="1" applyAlignment="1">
      <alignment horizontal="center" vertical="center"/>
    </xf>
    <xf numFmtId="0" fontId="11" fillId="3" borderId="61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3" borderId="5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27" fillId="0" borderId="1" xfId="0" applyNumberFormat="1" applyFont="1" applyBorder="1" applyAlignment="1">
      <alignment horizontal="center" vertical="center" wrapText="1"/>
    </xf>
    <xf numFmtId="0" fontId="11" fillId="3" borderId="62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9" fontId="27" fillId="0" borderId="14" xfId="0" applyNumberFormat="1" applyFont="1" applyBorder="1" applyAlignment="1">
      <alignment horizontal="center" vertical="center" wrapText="1"/>
    </xf>
    <xf numFmtId="9" fontId="27" fillId="0" borderId="53" xfId="0" applyNumberFormat="1" applyFont="1" applyBorder="1" applyAlignment="1">
      <alignment horizontal="center" vertical="center" wrapText="1"/>
    </xf>
    <xf numFmtId="0" fontId="11" fillId="16" borderId="61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11" fillId="16" borderId="6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0" fontId="11" fillId="16" borderId="63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9" fontId="27" fillId="0" borderId="19" xfId="0" applyNumberFormat="1" applyFont="1" applyBorder="1" applyAlignment="1">
      <alignment horizontal="center" vertical="center"/>
    </xf>
    <xf numFmtId="0" fontId="10" fillId="17" borderId="23" xfId="0" applyFont="1" applyFill="1" applyBorder="1" applyAlignment="1">
      <alignment horizontal="center" vertical="center" wrapText="1"/>
    </xf>
    <xf numFmtId="0" fontId="10" fillId="17" borderId="12" xfId="0" applyFont="1" applyFill="1" applyBorder="1" applyAlignment="1">
      <alignment horizontal="center" vertical="center" wrapText="1"/>
    </xf>
    <xf numFmtId="2" fontId="8" fillId="12" borderId="15" xfId="0" applyNumberFormat="1" applyFont="1" applyFill="1" applyBorder="1" applyAlignment="1">
      <alignment horizontal="center" vertical="center"/>
    </xf>
    <xf numFmtId="2" fontId="8" fillId="12" borderId="48" xfId="0" applyNumberFormat="1" applyFont="1" applyFill="1" applyBorder="1" applyAlignment="1">
      <alignment horizontal="center" vertical="center"/>
    </xf>
    <xf numFmtId="2" fontId="8" fillId="12" borderId="29" xfId="0" applyNumberFormat="1" applyFont="1" applyFill="1" applyBorder="1" applyAlignment="1">
      <alignment horizontal="center" vertical="center"/>
    </xf>
    <xf numFmtId="165" fontId="8" fillId="12" borderId="29" xfId="7" applyNumberFormat="1" applyFont="1" applyFill="1" applyBorder="1" applyAlignment="1">
      <alignment horizontal="center" vertical="center"/>
    </xf>
    <xf numFmtId="9" fontId="8" fillId="0" borderId="15" xfId="7" applyFont="1" applyFill="1" applyBorder="1" applyAlignment="1">
      <alignment horizontal="center" vertical="center"/>
    </xf>
    <xf numFmtId="9" fontId="8" fillId="0" borderId="43" xfId="7" applyFont="1" applyFill="1" applyBorder="1" applyAlignment="1">
      <alignment horizontal="center" vertical="center"/>
    </xf>
    <xf numFmtId="9" fontId="8" fillId="0" borderId="2" xfId="7" applyFont="1" applyFill="1" applyBorder="1" applyAlignment="1">
      <alignment horizontal="center" vertical="center"/>
    </xf>
    <xf numFmtId="9" fontId="8" fillId="0" borderId="47" xfId="7" applyFont="1" applyFill="1" applyBorder="1" applyAlignment="1">
      <alignment horizontal="center" vertical="center"/>
    </xf>
    <xf numFmtId="9" fontId="8" fillId="12" borderId="48" xfId="7" applyFont="1" applyFill="1" applyBorder="1" applyAlignment="1">
      <alignment horizontal="center" vertical="center"/>
    </xf>
    <xf numFmtId="9" fontId="8" fillId="12" borderId="47" xfId="7" applyFont="1" applyFill="1" applyBorder="1" applyAlignment="1">
      <alignment horizontal="center" vertical="center"/>
    </xf>
    <xf numFmtId="9" fontId="8" fillId="12" borderId="43" xfId="7" applyFont="1" applyFill="1" applyBorder="1" applyAlignment="1">
      <alignment horizontal="center" vertical="center"/>
    </xf>
    <xf numFmtId="9" fontId="8" fillId="12" borderId="10" xfId="7" applyFont="1" applyFill="1" applyBorder="1" applyAlignment="1">
      <alignment horizontal="center" vertical="center"/>
    </xf>
    <xf numFmtId="9" fontId="8" fillId="18" borderId="1" xfId="7" applyFont="1" applyFill="1" applyBorder="1" applyAlignment="1">
      <alignment horizontal="center" vertical="center"/>
    </xf>
    <xf numFmtId="9" fontId="8" fillId="0" borderId="54" xfId="7" applyFont="1" applyFill="1" applyBorder="1" applyAlignment="1">
      <alignment horizontal="center" vertical="center"/>
    </xf>
    <xf numFmtId="9" fontId="8" fillId="0" borderId="56" xfId="7" applyFont="1" applyFill="1" applyBorder="1" applyAlignment="1">
      <alignment horizontal="center" vertical="center"/>
    </xf>
    <xf numFmtId="9" fontId="8" fillId="0" borderId="10" xfId="7" applyFont="1" applyFill="1" applyBorder="1" applyAlignment="1">
      <alignment horizontal="center" vertical="center"/>
    </xf>
    <xf numFmtId="9" fontId="8" fillId="0" borderId="55" xfId="7" applyFont="1" applyFill="1" applyBorder="1" applyAlignment="1">
      <alignment horizontal="center" vertical="center"/>
    </xf>
    <xf numFmtId="9" fontId="8" fillId="12" borderId="66" xfId="7" applyFont="1" applyFill="1" applyBorder="1" applyAlignment="1">
      <alignment horizontal="center" vertical="center"/>
    </xf>
    <xf numFmtId="9" fontId="8" fillId="12" borderId="55" xfId="7" applyFont="1" applyFill="1" applyBorder="1" applyAlignment="1">
      <alignment horizontal="center" vertical="center"/>
    </xf>
    <xf numFmtId="9" fontId="8" fillId="18" borderId="9" xfId="7" applyFont="1" applyFill="1" applyBorder="1" applyAlignment="1">
      <alignment horizontal="center" vertical="center"/>
    </xf>
    <xf numFmtId="9" fontId="8" fillId="18" borderId="14" xfId="7" applyFont="1" applyFill="1" applyBorder="1" applyAlignment="1">
      <alignment horizontal="center" vertical="center"/>
    </xf>
    <xf numFmtId="9" fontId="8" fillId="18" borderId="67" xfId="7" applyFont="1" applyFill="1" applyBorder="1" applyAlignment="1">
      <alignment horizontal="center" vertical="center"/>
    </xf>
    <xf numFmtId="9" fontId="8" fillId="18" borderId="62" xfId="7" applyFont="1" applyFill="1" applyBorder="1" applyAlignment="1">
      <alignment horizontal="center" vertical="center"/>
    </xf>
    <xf numFmtId="9" fontId="8" fillId="18" borderId="52" xfId="7" applyFont="1" applyFill="1" applyBorder="1" applyAlignment="1">
      <alignment horizontal="center" vertical="center"/>
    </xf>
    <xf numFmtId="9" fontId="8" fillId="18" borderId="29" xfId="7" applyFont="1" applyFill="1" applyBorder="1" applyAlignment="1">
      <alignment horizontal="center" vertical="center"/>
    </xf>
    <xf numFmtId="9" fontId="8" fillId="12" borderId="56" xfId="7" applyFont="1" applyFill="1" applyBorder="1" applyAlignment="1">
      <alignment horizontal="center" vertical="center"/>
    </xf>
    <xf numFmtId="2" fontId="8" fillId="12" borderId="55" xfId="0" applyNumberFormat="1" applyFont="1" applyFill="1" applyBorder="1" applyAlignment="1">
      <alignment horizontal="center" vertical="center"/>
    </xf>
    <xf numFmtId="2" fontId="8" fillId="12" borderId="54" xfId="0" applyNumberFormat="1" applyFont="1" applyFill="1" applyBorder="1" applyAlignment="1">
      <alignment horizontal="center" vertical="center"/>
    </xf>
    <xf numFmtId="10" fontId="8" fillId="0" borderId="14" xfId="7" applyNumberFormat="1" applyFont="1" applyFill="1" applyBorder="1" applyAlignment="1">
      <alignment horizontal="center" vertical="center"/>
    </xf>
    <xf numFmtId="2" fontId="8" fillId="12" borderId="50" xfId="0" applyNumberFormat="1" applyFont="1" applyFill="1" applyBorder="1" applyAlignment="1">
      <alignment horizontal="center" vertical="center"/>
    </xf>
    <xf numFmtId="2" fontId="8" fillId="0" borderId="52" xfId="0" applyNumberFormat="1" applyFont="1" applyBorder="1" applyAlignment="1">
      <alignment horizontal="center" vertical="center"/>
    </xf>
    <xf numFmtId="9" fontId="8" fillId="0" borderId="52" xfId="7" applyFont="1" applyFill="1" applyBorder="1" applyAlignment="1">
      <alignment horizontal="center" vertical="center"/>
    </xf>
    <xf numFmtId="165" fontId="8" fillId="12" borderId="52" xfId="7" applyNumberFormat="1" applyFont="1" applyFill="1" applyBorder="1" applyAlignment="1">
      <alignment horizontal="center" vertical="center"/>
    </xf>
    <xf numFmtId="9" fontId="8" fillId="18" borderId="6" xfId="7" applyFont="1" applyFill="1" applyBorder="1" applyAlignment="1">
      <alignment horizontal="center" vertical="center"/>
    </xf>
    <xf numFmtId="2" fontId="16" fillId="0" borderId="17" xfId="3" applyNumberFormat="1" applyFont="1" applyBorder="1" applyAlignment="1" applyProtection="1">
      <alignment horizontal="center" vertical="center" wrapText="1"/>
      <protection locked="0"/>
    </xf>
    <xf numFmtId="9" fontId="8" fillId="18" borderId="63" xfId="7" applyFont="1" applyFill="1" applyBorder="1" applyAlignment="1">
      <alignment horizontal="center" vertical="center"/>
    </xf>
    <xf numFmtId="9" fontId="8" fillId="18" borderId="68" xfId="7" applyFont="1" applyFill="1" applyBorder="1" applyAlignment="1">
      <alignment horizontal="center" vertical="center"/>
    </xf>
    <xf numFmtId="9" fontId="8" fillId="18" borderId="65" xfId="7" applyFont="1" applyFill="1" applyBorder="1" applyAlignment="1">
      <alignment horizontal="center" vertical="center"/>
    </xf>
    <xf numFmtId="9" fontId="8" fillId="18" borderId="34" xfId="7" applyFont="1" applyFill="1" applyBorder="1" applyAlignment="1">
      <alignment horizontal="center" vertical="center"/>
    </xf>
    <xf numFmtId="9" fontId="8" fillId="0" borderId="20" xfId="7" applyFont="1" applyFill="1" applyBorder="1" applyAlignment="1">
      <alignment horizontal="center" vertical="center"/>
    </xf>
    <xf numFmtId="9" fontId="8" fillId="12" borderId="30" xfId="7" applyFont="1" applyFill="1" applyBorder="1" applyAlignment="1">
      <alignment horizontal="center" vertical="center"/>
    </xf>
    <xf numFmtId="9" fontId="8" fillId="0" borderId="19" xfId="7" applyFont="1" applyFill="1" applyBorder="1" applyAlignment="1">
      <alignment horizontal="center" vertical="center"/>
    </xf>
    <xf numFmtId="9" fontId="8" fillId="12" borderId="53" xfId="7" applyFont="1" applyFill="1" applyBorder="1" applyAlignment="1">
      <alignment horizontal="center" vertical="center"/>
    </xf>
    <xf numFmtId="9" fontId="8" fillId="18" borderId="53" xfId="7" applyFont="1" applyFill="1" applyBorder="1" applyAlignment="1">
      <alignment horizontal="center" vertical="center"/>
    </xf>
    <xf numFmtId="10" fontId="8" fillId="12" borderId="19" xfId="7" applyNumberFormat="1" applyFont="1" applyFill="1" applyBorder="1" applyAlignment="1">
      <alignment horizontal="center" vertical="center"/>
    </xf>
    <xf numFmtId="10" fontId="8" fillId="12" borderId="20" xfId="7" applyNumberFormat="1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 wrapText="1"/>
    </xf>
    <xf numFmtId="165" fontId="18" fillId="0" borderId="30" xfId="7" applyNumberFormat="1" applyFont="1" applyFill="1" applyBorder="1" applyAlignment="1">
      <alignment horizontal="center" vertical="center"/>
    </xf>
    <xf numFmtId="9" fontId="18" fillId="0" borderId="53" xfId="7" applyFont="1" applyFill="1" applyBorder="1" applyAlignment="1">
      <alignment horizontal="center" vertical="center"/>
    </xf>
    <xf numFmtId="9" fontId="18" fillId="0" borderId="30" xfId="7" applyFont="1" applyFill="1" applyBorder="1" applyAlignment="1">
      <alignment horizontal="center" vertical="center"/>
    </xf>
    <xf numFmtId="9" fontId="18" fillId="0" borderId="19" xfId="7" applyFont="1" applyFill="1" applyBorder="1" applyAlignment="1">
      <alignment horizontal="center" vertical="center"/>
    </xf>
    <xf numFmtId="165" fontId="18" fillId="0" borderId="19" xfId="7" applyNumberFormat="1" applyFont="1" applyFill="1" applyBorder="1" applyAlignment="1">
      <alignment horizontal="center" vertical="center"/>
    </xf>
    <xf numFmtId="165" fontId="22" fillId="0" borderId="19" xfId="7" applyNumberFormat="1" applyFont="1" applyFill="1" applyBorder="1" applyAlignment="1">
      <alignment horizontal="center" vertical="center"/>
    </xf>
    <xf numFmtId="9" fontId="18" fillId="0" borderId="20" xfId="7" applyFont="1" applyFill="1" applyBorder="1" applyAlignment="1">
      <alignment horizontal="center" vertical="center"/>
    </xf>
    <xf numFmtId="165" fontId="18" fillId="0" borderId="34" xfId="7" applyNumberFormat="1" applyFont="1" applyFill="1" applyBorder="1" applyAlignment="1">
      <alignment horizontal="center" vertical="center"/>
    </xf>
    <xf numFmtId="165" fontId="18" fillId="0" borderId="20" xfId="7" applyNumberFormat="1" applyFont="1" applyFill="1" applyBorder="1" applyAlignment="1">
      <alignment horizontal="center" vertical="center"/>
    </xf>
    <xf numFmtId="165" fontId="18" fillId="12" borderId="30" xfId="7" applyNumberFormat="1" applyFont="1" applyFill="1" applyBorder="1" applyAlignment="1">
      <alignment horizontal="center" vertical="center"/>
    </xf>
    <xf numFmtId="165" fontId="18" fillId="12" borderId="19" xfId="7" applyNumberFormat="1" applyFont="1" applyFill="1" applyBorder="1" applyAlignment="1">
      <alignment horizontal="center" vertical="center"/>
    </xf>
    <xf numFmtId="165" fontId="18" fillId="12" borderId="20" xfId="7" applyNumberFormat="1" applyFont="1" applyFill="1" applyBorder="1" applyAlignment="1">
      <alignment horizontal="center" vertical="center"/>
    </xf>
    <xf numFmtId="165" fontId="18" fillId="12" borderId="53" xfId="7" applyNumberFormat="1" applyFont="1" applyFill="1" applyBorder="1" applyAlignment="1">
      <alignment horizontal="center" vertical="center"/>
    </xf>
    <xf numFmtId="9" fontId="8" fillId="18" borderId="69" xfId="7" applyFont="1" applyFill="1" applyBorder="1" applyAlignment="1">
      <alignment horizontal="center" vertical="center"/>
    </xf>
    <xf numFmtId="165" fontId="8" fillId="12" borderId="30" xfId="7" applyNumberFormat="1" applyFont="1" applyFill="1" applyBorder="1" applyAlignment="1">
      <alignment horizontal="center" vertical="center"/>
    </xf>
    <xf numFmtId="165" fontId="8" fillId="12" borderId="19" xfId="7" applyNumberFormat="1" applyFont="1" applyFill="1" applyBorder="1" applyAlignment="1">
      <alignment horizontal="center" vertical="center"/>
    </xf>
    <xf numFmtId="165" fontId="8" fillId="12" borderId="20" xfId="7" applyNumberFormat="1" applyFont="1" applyFill="1" applyBorder="1" applyAlignment="1">
      <alignment horizontal="center" vertical="center"/>
    </xf>
    <xf numFmtId="9" fontId="8" fillId="18" borderId="4" xfId="7" applyFont="1" applyFill="1" applyBorder="1" applyAlignment="1">
      <alignment horizontal="center" vertical="center"/>
    </xf>
    <xf numFmtId="9" fontId="8" fillId="18" borderId="5" xfId="7" applyFont="1" applyFill="1" applyBorder="1" applyAlignment="1">
      <alignment horizontal="center" vertical="center"/>
    </xf>
    <xf numFmtId="165" fontId="8" fillId="0" borderId="31" xfId="7" applyNumberFormat="1" applyFont="1" applyFill="1" applyBorder="1" applyAlignment="1">
      <alignment horizontal="center" vertical="center"/>
    </xf>
    <xf numFmtId="1" fontId="8" fillId="0" borderId="31" xfId="7" applyNumberFormat="1" applyFont="1" applyFill="1" applyBorder="1" applyAlignment="1">
      <alignment horizontal="center" vertical="center"/>
    </xf>
    <xf numFmtId="1" fontId="8" fillId="12" borderId="32" xfId="7" applyNumberFormat="1" applyFont="1" applyFill="1" applyBorder="1" applyAlignment="1">
      <alignment horizontal="center" vertical="center"/>
    </xf>
    <xf numFmtId="9" fontId="8" fillId="12" borderId="35" xfId="7" applyFont="1" applyFill="1" applyBorder="1" applyAlignment="1">
      <alignment horizontal="center" vertical="center"/>
    </xf>
    <xf numFmtId="9" fontId="8" fillId="12" borderId="33" xfId="7" applyFont="1" applyFill="1" applyBorder="1" applyAlignment="1">
      <alignment horizontal="center" vertical="center"/>
    </xf>
    <xf numFmtId="2" fontId="8" fillId="12" borderId="33" xfId="7" applyNumberFormat="1" applyFont="1" applyFill="1" applyBorder="1" applyAlignment="1">
      <alignment horizontal="center" vertical="center"/>
    </xf>
    <xf numFmtId="10" fontId="8" fillId="12" borderId="33" xfId="7" applyNumberFormat="1" applyFont="1" applyFill="1" applyBorder="1" applyAlignment="1">
      <alignment horizontal="center" vertical="center"/>
    </xf>
    <xf numFmtId="10" fontId="8" fillId="12" borderId="31" xfId="7" applyNumberFormat="1" applyFont="1" applyFill="1" applyBorder="1" applyAlignment="1">
      <alignment horizontal="center" vertical="center"/>
    </xf>
    <xf numFmtId="10" fontId="8" fillId="12" borderId="69" xfId="7" applyNumberFormat="1" applyFont="1" applyFill="1" applyBorder="1" applyAlignment="1">
      <alignment horizontal="center" vertical="center"/>
    </xf>
    <xf numFmtId="9" fontId="8" fillId="12" borderId="37" xfId="7" applyFont="1" applyFill="1" applyBorder="1" applyAlignment="1">
      <alignment horizontal="center" vertical="center"/>
    </xf>
    <xf numFmtId="2" fontId="8" fillId="12" borderId="40" xfId="0" applyNumberFormat="1" applyFont="1" applyFill="1" applyBorder="1" applyAlignment="1">
      <alignment horizontal="center" vertical="center"/>
    </xf>
    <xf numFmtId="2" fontId="8" fillId="12" borderId="38" xfId="0" applyNumberFormat="1" applyFont="1" applyFill="1" applyBorder="1" applyAlignment="1">
      <alignment horizontal="center" vertical="center"/>
    </xf>
    <xf numFmtId="9" fontId="8" fillId="12" borderId="38" xfId="7" applyFont="1" applyFill="1" applyBorder="1" applyAlignment="1">
      <alignment horizontal="center" vertical="center"/>
    </xf>
    <xf numFmtId="2" fontId="8" fillId="12" borderId="53" xfId="0" applyNumberFormat="1" applyFont="1" applyFill="1" applyBorder="1" applyAlignment="1">
      <alignment horizontal="center" vertical="center"/>
    </xf>
    <xf numFmtId="2" fontId="8" fillId="12" borderId="20" xfId="0" applyNumberFormat="1" applyFont="1" applyFill="1" applyBorder="1" applyAlignment="1">
      <alignment horizontal="center" vertical="center"/>
    </xf>
    <xf numFmtId="9" fontId="8" fillId="12" borderId="20" xfId="7" applyFont="1" applyFill="1" applyBorder="1" applyAlignment="1">
      <alignment horizontal="center" vertical="center"/>
    </xf>
    <xf numFmtId="9" fontId="8" fillId="18" borderId="61" xfId="7" applyFont="1" applyFill="1" applyBorder="1" applyAlignment="1">
      <alignment horizontal="center" vertical="center"/>
    </xf>
    <xf numFmtId="9" fontId="8" fillId="18" borderId="70" xfId="7" applyFont="1" applyFill="1" applyBorder="1" applyAlignment="1">
      <alignment horizontal="center" vertical="center"/>
    </xf>
    <xf numFmtId="9" fontId="8" fillId="18" borderId="64" xfId="7" applyFont="1" applyFill="1" applyBorder="1" applyAlignment="1">
      <alignment horizontal="center" vertical="center"/>
    </xf>
    <xf numFmtId="9" fontId="8" fillId="18" borderId="36" xfId="7" applyFont="1" applyFill="1" applyBorder="1" applyAlignment="1">
      <alignment horizontal="center" vertical="center"/>
    </xf>
    <xf numFmtId="9" fontId="8" fillId="0" borderId="33" xfId="7" applyFont="1" applyFill="1" applyBorder="1" applyAlignment="1">
      <alignment horizontal="center" vertical="center"/>
    </xf>
    <xf numFmtId="9" fontId="8" fillId="12" borderId="31" xfId="7" applyFont="1" applyFill="1" applyBorder="1" applyAlignment="1">
      <alignment horizontal="center" vertical="center"/>
    </xf>
    <xf numFmtId="9" fontId="8" fillId="0" borderId="32" xfId="7" applyFont="1" applyFill="1" applyBorder="1" applyAlignment="1">
      <alignment horizontal="center" vertical="center"/>
    </xf>
    <xf numFmtId="9" fontId="8" fillId="18" borderId="35" xfId="7" applyFont="1" applyFill="1" applyBorder="1" applyAlignment="1">
      <alignment horizontal="center" vertical="center"/>
    </xf>
    <xf numFmtId="10" fontId="8" fillId="12" borderId="39" xfId="7" applyNumberFormat="1" applyFont="1" applyFill="1" applyBorder="1" applyAlignment="1">
      <alignment horizontal="center" vertical="center"/>
    </xf>
    <xf numFmtId="10" fontId="8" fillId="12" borderId="37" xfId="7" applyNumberFormat="1" applyFont="1" applyFill="1" applyBorder="1" applyAlignment="1">
      <alignment horizontal="center" vertical="center"/>
    </xf>
    <xf numFmtId="9" fontId="8" fillId="0" borderId="31" xfId="7" applyFont="1" applyFill="1" applyBorder="1" applyAlignment="1">
      <alignment horizontal="center" vertical="center"/>
    </xf>
    <xf numFmtId="10" fontId="8" fillId="0" borderId="32" xfId="7" applyNumberFormat="1" applyFont="1" applyFill="1" applyBorder="1" applyAlignment="1">
      <alignment horizontal="center" vertical="center"/>
    </xf>
    <xf numFmtId="9" fontId="8" fillId="0" borderId="35" xfId="7" applyFont="1" applyFill="1" applyBorder="1" applyAlignment="1">
      <alignment horizontal="center" vertical="center"/>
    </xf>
    <xf numFmtId="10" fontId="8" fillId="0" borderId="31" xfId="7" applyNumberFormat="1" applyFont="1" applyFill="1" applyBorder="1" applyAlignment="1">
      <alignment horizontal="center" vertical="center"/>
    </xf>
    <xf numFmtId="9" fontId="8" fillId="12" borderId="32" xfId="7" applyFont="1" applyFill="1" applyBorder="1" applyAlignment="1">
      <alignment horizontal="center" vertical="center"/>
    </xf>
    <xf numFmtId="9" fontId="8" fillId="12" borderId="36" xfId="7" applyFont="1" applyFill="1" applyBorder="1" applyAlignment="1">
      <alignment horizontal="center" vertical="center"/>
    </xf>
    <xf numFmtId="10" fontId="8" fillId="12" borderId="32" xfId="7" applyNumberFormat="1" applyFont="1" applyFill="1" applyBorder="1" applyAlignment="1">
      <alignment horizontal="center" vertical="center"/>
    </xf>
    <xf numFmtId="165" fontId="8" fillId="12" borderId="32" xfId="7" applyNumberFormat="1" applyFont="1" applyFill="1" applyBorder="1" applyAlignment="1">
      <alignment horizontal="center" vertical="center"/>
    </xf>
    <xf numFmtId="165" fontId="8" fillId="12" borderId="31" xfId="7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12" borderId="5" xfId="0" applyFont="1" applyFill="1" applyBorder="1" applyAlignment="1">
      <alignment vertical="center" wrapText="1"/>
    </xf>
    <xf numFmtId="0" fontId="12" fillId="12" borderId="8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1" fillId="4" borderId="15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2" fontId="8" fillId="0" borderId="43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7" fillId="8" borderId="26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18" fillId="10" borderId="71" xfId="0" applyFont="1" applyFill="1" applyBorder="1" applyAlignment="1">
      <alignment horizontal="center" vertical="center" wrapText="1"/>
    </xf>
    <xf numFmtId="0" fontId="18" fillId="10" borderId="28" xfId="0" applyFont="1" applyFill="1" applyBorder="1" applyAlignment="1">
      <alignment horizontal="center" vertical="center" wrapText="1"/>
    </xf>
    <xf numFmtId="0" fontId="7" fillId="8" borderId="72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9" borderId="72" xfId="0" applyFont="1" applyFill="1" applyBorder="1" applyAlignment="1">
      <alignment horizontal="center" vertical="center" wrapText="1"/>
    </xf>
    <xf numFmtId="0" fontId="11" fillId="10" borderId="28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17" fontId="21" fillId="12" borderId="11" xfId="0" applyNumberFormat="1" applyFont="1" applyFill="1" applyBorder="1" applyAlignment="1">
      <alignment wrapText="1"/>
    </xf>
    <xf numFmtId="17" fontId="21" fillId="12" borderId="12" xfId="0" applyNumberFormat="1" applyFont="1" applyFill="1" applyBorder="1" applyAlignment="1">
      <alignment wrapText="1"/>
    </xf>
    <xf numFmtId="17" fontId="21" fillId="12" borderId="13" xfId="0" applyNumberFormat="1" applyFont="1" applyFill="1" applyBorder="1" applyAlignment="1">
      <alignment wrapText="1"/>
    </xf>
    <xf numFmtId="165" fontId="29" fillId="0" borderId="30" xfId="7" applyNumberFormat="1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2" fontId="8" fillId="12" borderId="37" xfId="0" applyNumberFormat="1" applyFont="1" applyFill="1" applyBorder="1" applyAlignment="1">
      <alignment horizontal="center" vertical="center"/>
    </xf>
    <xf numFmtId="0" fontId="3" fillId="19" borderId="34" xfId="0" applyFont="1" applyFill="1" applyBorder="1" applyAlignment="1">
      <alignment horizontal="center" vertical="center" wrapText="1"/>
    </xf>
    <xf numFmtId="0" fontId="11" fillId="19" borderId="19" xfId="0" applyFont="1" applyFill="1" applyBorder="1" applyAlignment="1">
      <alignment horizontal="center" vertical="center" wrapText="1"/>
    </xf>
    <xf numFmtId="0" fontId="3" fillId="19" borderId="19" xfId="0" applyFont="1" applyFill="1" applyBorder="1" applyAlignment="1">
      <alignment horizontal="center" vertical="center" wrapText="1"/>
    </xf>
    <xf numFmtId="0" fontId="27" fillId="19" borderId="19" xfId="0" applyFont="1" applyFill="1" applyBorder="1" applyAlignment="1">
      <alignment horizontal="center" vertical="center" wrapText="1"/>
    </xf>
    <xf numFmtId="0" fontId="9" fillId="19" borderId="20" xfId="4" applyFont="1" applyFill="1" applyBorder="1" applyAlignment="1">
      <alignment horizontal="center" vertical="center"/>
    </xf>
    <xf numFmtId="10" fontId="8" fillId="18" borderId="67" xfId="7" applyNumberFormat="1" applyFont="1" applyFill="1" applyBorder="1" applyAlignment="1">
      <alignment horizontal="center" vertical="center"/>
    </xf>
    <xf numFmtId="10" fontId="8" fillId="18" borderId="52" xfId="7" applyNumberFormat="1" applyFont="1" applyFill="1" applyBorder="1" applyAlignment="1">
      <alignment horizontal="center" vertical="center"/>
    </xf>
    <xf numFmtId="10" fontId="8" fillId="18" borderId="62" xfId="7" applyNumberFormat="1" applyFont="1" applyFill="1" applyBorder="1" applyAlignment="1">
      <alignment horizontal="center" vertical="center"/>
    </xf>
    <xf numFmtId="10" fontId="8" fillId="12" borderId="14" xfId="0" applyNumberFormat="1" applyFont="1" applyFill="1" applyBorder="1" applyAlignment="1">
      <alignment horizontal="center" vertical="center"/>
    </xf>
    <xf numFmtId="10" fontId="8" fillId="18" borderId="0" xfId="7" applyNumberFormat="1" applyFont="1" applyFill="1" applyBorder="1" applyAlignment="1">
      <alignment horizontal="center" vertical="center"/>
    </xf>
    <xf numFmtId="10" fontId="8" fillId="18" borderId="21" xfId="7" applyNumberFormat="1" applyFont="1" applyFill="1" applyBorder="1" applyAlignment="1">
      <alignment horizontal="center" vertical="center"/>
    </xf>
    <xf numFmtId="10" fontId="8" fillId="18" borderId="16" xfId="7" applyNumberFormat="1" applyFont="1" applyFill="1" applyBorder="1" applyAlignment="1">
      <alignment horizontal="center" vertical="center"/>
    </xf>
    <xf numFmtId="10" fontId="8" fillId="12" borderId="54" xfId="0" applyNumberFormat="1" applyFont="1" applyFill="1" applyBorder="1" applyAlignment="1">
      <alignment horizontal="center" vertical="center"/>
    </xf>
    <xf numFmtId="0" fontId="8" fillId="12" borderId="32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10" fontId="8" fillId="12" borderId="14" xfId="7" applyNumberFormat="1" applyFont="1" applyFill="1" applyBorder="1" applyAlignment="1">
      <alignment horizontal="center" vertical="center"/>
    </xf>
    <xf numFmtId="10" fontId="8" fillId="0" borderId="17" xfId="7" applyNumberFormat="1" applyFont="1" applyFill="1" applyBorder="1" applyAlignment="1">
      <alignment horizontal="center" vertical="center"/>
    </xf>
    <xf numFmtId="10" fontId="18" fillId="0" borderId="19" xfId="7" applyNumberFormat="1" applyFont="1" applyFill="1" applyBorder="1" applyAlignment="1">
      <alignment horizontal="center" vertical="center"/>
    </xf>
    <xf numFmtId="10" fontId="18" fillId="0" borderId="53" xfId="7" applyNumberFormat="1" applyFont="1" applyFill="1" applyBorder="1" applyAlignment="1">
      <alignment horizontal="center" vertical="center"/>
    </xf>
    <xf numFmtId="10" fontId="18" fillId="0" borderId="30" xfId="7" applyNumberFormat="1" applyFont="1" applyFill="1" applyBorder="1" applyAlignment="1">
      <alignment horizontal="center" vertical="center"/>
    </xf>
    <xf numFmtId="10" fontId="18" fillId="0" borderId="20" xfId="7" applyNumberFormat="1" applyFont="1" applyFill="1" applyBorder="1" applyAlignment="1">
      <alignment horizontal="center" vertical="center"/>
    </xf>
    <xf numFmtId="10" fontId="18" fillId="0" borderId="34" xfId="7" applyNumberFormat="1" applyFont="1" applyFill="1" applyBorder="1" applyAlignment="1">
      <alignment horizontal="center" vertical="center"/>
    </xf>
    <xf numFmtId="10" fontId="15" fillId="0" borderId="19" xfId="7" applyNumberFormat="1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 wrapText="1"/>
    </xf>
    <xf numFmtId="0" fontId="11" fillId="17" borderId="12" xfId="0" applyFont="1" applyFill="1" applyBorder="1" applyAlignment="1">
      <alignment horizontal="center" vertical="center" wrapText="1"/>
    </xf>
    <xf numFmtId="10" fontId="18" fillId="12" borderId="19" xfId="7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12" fillId="12" borderId="2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1" fillId="12" borderId="11" xfId="0" applyFont="1" applyFill="1" applyBorder="1" applyAlignment="1">
      <alignment horizontal="left" vertical="center" wrapText="1"/>
    </xf>
    <xf numFmtId="0" fontId="21" fillId="12" borderId="12" xfId="0" applyFont="1" applyFill="1" applyBorder="1" applyAlignment="1">
      <alignment horizontal="left" vertical="center" wrapText="1"/>
    </xf>
    <xf numFmtId="0" fontId="21" fillId="12" borderId="13" xfId="0" applyFont="1" applyFill="1" applyBorder="1" applyAlignment="1">
      <alignment horizontal="left" vertical="center" wrapText="1"/>
    </xf>
    <xf numFmtId="17" fontId="21" fillId="12" borderId="12" xfId="0" applyNumberFormat="1" applyFont="1" applyFill="1" applyBorder="1" applyAlignment="1">
      <alignment horizontal="center" wrapText="1"/>
    </xf>
    <xf numFmtId="17" fontId="21" fillId="12" borderId="13" xfId="0" applyNumberFormat="1" applyFont="1" applyFill="1" applyBorder="1" applyAlignment="1">
      <alignment horizontal="center" wrapText="1"/>
    </xf>
    <xf numFmtId="0" fontId="11" fillId="4" borderId="60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0" fontId="11" fillId="4" borderId="41" xfId="0" applyFont="1" applyFill="1" applyBorder="1" applyAlignment="1">
      <alignment horizontal="center" vertical="center" wrapText="1"/>
    </xf>
    <xf numFmtId="0" fontId="11" fillId="11" borderId="59" xfId="0" applyFont="1" applyFill="1" applyBorder="1" applyAlignment="1">
      <alignment horizontal="center" vertical="center" wrapText="1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41" xfId="0" applyFont="1" applyFill="1" applyBorder="1" applyAlignment="1">
      <alignment horizontal="center" vertical="center" wrapText="1"/>
    </xf>
    <xf numFmtId="0" fontId="9" fillId="0" borderId="58" xfId="3" applyFont="1" applyBorder="1" applyAlignment="1">
      <alignment horizontal="center" vertical="center" wrapText="1"/>
    </xf>
    <xf numFmtId="0" fontId="9" fillId="0" borderId="48" xfId="3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16" borderId="59" xfId="0" applyFont="1" applyFill="1" applyBorder="1" applyAlignment="1">
      <alignment horizontal="center" vertical="center" wrapText="1"/>
    </xf>
    <xf numFmtId="0" fontId="11" fillId="16" borderId="42" xfId="0" applyFont="1" applyFill="1" applyBorder="1" applyAlignment="1">
      <alignment horizontal="center" vertical="center" wrapText="1"/>
    </xf>
    <xf numFmtId="0" fontId="11" fillId="16" borderId="4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left" vertical="center" indent="1"/>
    </xf>
    <xf numFmtId="0" fontId="18" fillId="0" borderId="13" xfId="0" applyFont="1" applyBorder="1" applyAlignment="1">
      <alignment horizontal="left" vertical="center" inden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9" fillId="12" borderId="48" xfId="3" applyFont="1" applyFill="1" applyBorder="1" applyAlignment="1">
      <alignment horizontal="center" vertical="center" wrapText="1"/>
    </xf>
    <xf numFmtId="0" fontId="9" fillId="12" borderId="29" xfId="3" applyFont="1" applyFill="1" applyBorder="1" applyAlignment="1">
      <alignment horizontal="center" vertical="center" wrapText="1"/>
    </xf>
    <xf numFmtId="0" fontId="9" fillId="12" borderId="34" xfId="3" applyFont="1" applyFill="1" applyBorder="1" applyAlignment="1">
      <alignment horizontal="center" vertical="center" wrapText="1"/>
    </xf>
  </cellXfs>
  <cellStyles count="8">
    <cellStyle name="Normal" xfId="0" builtinId="0"/>
    <cellStyle name="Normal 10" xfId="1" xr:uid="{00000000-0005-0000-0000-000001000000}"/>
    <cellStyle name="Normal 11" xfId="2" xr:uid="{00000000-0005-0000-0000-000002000000}"/>
    <cellStyle name="Normal 5" xfId="3" xr:uid="{00000000-0005-0000-0000-000003000000}"/>
    <cellStyle name="Normal 6" xfId="4" xr:uid="{00000000-0005-0000-0000-000004000000}"/>
    <cellStyle name="Normal 8" xfId="5" xr:uid="{00000000-0005-0000-0000-000005000000}"/>
    <cellStyle name="Normal 9" xfId="6" xr:uid="{00000000-0005-0000-0000-000006000000}"/>
    <cellStyle name="Porcentaje" xfId="7" builtinId="5"/>
  </cellStyles>
  <dxfs count="826"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rgb="FF00206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vertical="center"/>
    </dxf>
    <dxf>
      <numFmt numFmtId="13" formatCode="0%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ont>
        <color theme="0"/>
      </font>
      <fill>
        <patternFill patternType="solid">
          <fgColor indexed="64"/>
          <bgColor rgb="FFC00000"/>
        </patternFill>
      </fill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color theme="0"/>
      </font>
    </dxf>
    <dxf>
      <fill>
        <patternFill>
          <bgColor rgb="FFC00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font>
        <color theme="0"/>
      </font>
    </dxf>
    <dxf>
      <fill>
        <patternFill patternType="solid">
          <bgColor rgb="FFC00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font>
        <color theme="0"/>
      </font>
    </dxf>
    <dxf>
      <fill>
        <patternFill patternType="solid">
          <bgColor rgb="FFC00000"/>
        </patternFill>
      </fill>
    </dxf>
    <dxf>
      <alignment horizontal="center" indent="0"/>
    </dxf>
    <dxf>
      <alignment vertical="center" indent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alignment horizontal="center"/>
    </dxf>
    <dxf>
      <numFmt numFmtId="0" formatCode="General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rgb="FF00206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vertical="center"/>
    </dxf>
    <dxf>
      <numFmt numFmtId="13" formatCode="0%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color auto="1"/>
      </font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font>
        <color theme="0"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rgb="FF00206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vertical="center"/>
    </dxf>
    <dxf>
      <numFmt numFmtId="13" formatCode="0%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ill>
        <patternFill patternType="solid">
          <fgColor indexed="64"/>
          <bgColor rgb="FFFFC000"/>
        </patternFill>
      </fill>
    </dxf>
    <dxf>
      <font>
        <color theme="1"/>
      </font>
      <fill>
        <patternFill patternType="solid">
          <fgColor indexed="64"/>
          <bgColor rgb="FFFFC000"/>
        </patternFill>
      </fill>
      <alignment horizontal="center" vertical="center"/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vertical="center"/>
    </dxf>
    <dxf>
      <alignment vertical="center"/>
    </dxf>
    <dxf>
      <font>
        <color theme="1"/>
      </font>
    </dxf>
    <dxf>
      <font>
        <color theme="1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rgb="FFC00000"/>
        </patternFill>
      </fill>
    </dxf>
    <dxf>
      <alignment horizontal="center" indent="0"/>
    </dxf>
    <dxf>
      <alignment vertical="center" indent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alignment horizontal="center"/>
    </dxf>
    <dxf>
      <numFmt numFmtId="0" formatCode="General"/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alignment horizontal="center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00206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wrapText="1"/>
    </dxf>
    <dxf>
      <border>
        <left style="medium">
          <color indexed="64"/>
        </left>
        <bottom style="medium">
          <color indexed="64"/>
        </bottom>
      </border>
    </dxf>
    <dxf>
      <alignment vertical="center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fill>
        <patternFill>
          <fgColor rgb="FF002060"/>
        </patternFill>
      </fill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1" tint="0.499984740745262"/>
        </patternFill>
      </fill>
    </dxf>
    <dxf>
      <border>
        <bottom style="medium">
          <color indexed="64"/>
        </bottom>
      </border>
    </dxf>
    <dxf>
      <alignment horizontal="left"/>
    </dxf>
    <dxf>
      <alignment vertical="center"/>
    </dxf>
    <dxf>
      <numFmt numFmtId="13" formatCode="0%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ont>
        <color theme="0"/>
      </font>
      <fill>
        <patternFill patternType="solid">
          <fgColor indexed="64"/>
          <bgColor rgb="FF0070C0"/>
        </patternFill>
      </fill>
      <alignment horizontal="center" vertical="center"/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color theme="0"/>
      </font>
    </dxf>
    <dxf>
      <fill>
        <patternFill>
          <bgColor rgb="FF0070C0"/>
        </patternFill>
      </fill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font>
        <color theme="0"/>
      </font>
      <fill>
        <patternFill patternType="solid">
          <fgColor indexed="64"/>
          <bgColor rgb="FF0070C0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theme="0"/>
      </font>
    </dxf>
    <dxf>
      <fill>
        <patternFill patternType="solid">
          <bgColor rgb="FF0070C0"/>
        </patternFill>
      </fill>
    </dxf>
    <dxf>
      <alignment horizontal="center" indent="0"/>
    </dxf>
    <dxf>
      <alignment horizontal="center" indent="0"/>
    </dxf>
    <dxf>
      <alignment vertic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color auto="1"/>
      </font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font>
        <color theme="0"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rgb="FF00206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vertical="center"/>
    </dxf>
    <dxf>
      <numFmt numFmtId="13" formatCode="0%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ont>
        <color theme="0"/>
      </font>
      <fill>
        <patternFill patternType="solid">
          <fgColor indexed="64"/>
          <bgColor rgb="FF00B050"/>
        </patternFill>
      </fill>
    </dxf>
    <dxf>
      <font>
        <color theme="0"/>
      </font>
      <fill>
        <patternFill patternType="solid">
          <fgColor indexed="64"/>
          <bgColor rgb="FF00B050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00B050"/>
        </patternFill>
      </fill>
      <alignment horizontal="center" vertic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 patternType="solid">
          <bgColor rgb="FFC00000"/>
        </patternFill>
      </fill>
    </dxf>
    <dxf>
      <alignment horizontal="center" indent="0"/>
    </dxf>
    <dxf>
      <alignment vertical="center" indent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alignment horizontal="center"/>
    </dxf>
    <dxf>
      <numFmt numFmtId="0" formatCode="General"/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rgb="FF00206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vertical="center"/>
    </dxf>
    <dxf>
      <numFmt numFmtId="13" formatCode="0%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rgb="FF00206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alignment horizontal="left"/>
    </dxf>
    <dxf>
      <alignment vertical="center"/>
    </dxf>
    <dxf>
      <numFmt numFmtId="13" formatCode="0%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0"/>
    </dxf>
    <dxf>
      <alignment vertic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rgb="FF00206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vertical="center"/>
    </dxf>
    <dxf>
      <numFmt numFmtId="13" formatCode="0%"/>
    </dxf>
    <dxf>
      <font>
        <color theme="0"/>
      </font>
    </dxf>
    <dxf>
      <fill>
        <patternFill>
          <bgColor rgb="FF0070C0"/>
        </patternFill>
      </fill>
    </dxf>
    <dxf>
      <alignment horizontal="center" indent="0"/>
    </dxf>
    <dxf>
      <alignment vertic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border>
        <top style="medium">
          <color indexed="64"/>
        </top>
        <bottom style="medium">
          <color indexed="64"/>
        </bottom>
      </border>
    </dxf>
    <dxf>
      <alignment vertical="center"/>
    </dxf>
    <dxf>
      <border>
        <top style="medium">
          <color indexed="64"/>
        </top>
        <bottom style="medium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top style="medium">
          <color indexed="64"/>
        </top>
      </border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</dxf>
    <dxf>
      <fill>
        <patternFill patternType="solid">
          <bgColor rgb="FF0070C0"/>
        </patternFill>
      </fill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ont>
        <color theme="0"/>
      </font>
      <fill>
        <patternFill patternType="solid">
          <fgColor indexed="64"/>
          <bgColor theme="2" tint="-0.499984740745262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color theme="0"/>
      </font>
    </dxf>
    <dxf>
      <fill>
        <patternFill>
          <bgColor theme="2" tint="-0.49998474074526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font>
        <color theme="0"/>
      </font>
    </dxf>
    <dxf>
      <fill>
        <patternFill>
          <bgColor theme="2" tint="-0.499984740745262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vertical="center"/>
    </dxf>
    <dxf>
      <alignment vertical="center"/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/>
      </font>
    </dxf>
    <dxf>
      <fill>
        <patternFill>
          <bgColor theme="0" tint="-0.499984740745262"/>
        </patternFill>
      </fill>
    </dxf>
    <dxf>
      <fill>
        <patternFill patternType="solid">
          <bgColor rgb="FFC00000"/>
        </patternFill>
      </fill>
    </dxf>
    <dxf>
      <alignment horizontal="center" indent="0"/>
    </dxf>
    <dxf>
      <alignment vertical="center" indent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font>
        <name val="Century Gothic"/>
        <family val="2"/>
      </font>
    </dxf>
    <dxf>
      <alignment horizontal="center"/>
    </dxf>
    <dxf>
      <alignment horizontal="center"/>
    </dxf>
    <dxf>
      <numFmt numFmtId="0" formatCode="General"/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entury Gothic"/>
        <family val="2"/>
      </font>
      <numFmt numFmtId="2" formatCode="0.00"/>
      <alignment horizontal="center" vertical="center" wrapText="1"/>
    </dxf>
    <dxf>
      <font>
        <name val="Century Gothic"/>
        <family val="2"/>
      </font>
    </dxf>
    <dxf>
      <font>
        <color theme="0"/>
        <name val="Century Gothic"/>
        <family val="2"/>
      </font>
      <fill>
        <patternFill patternType="solid">
          <fgColor rgb="FF002060"/>
          <bgColor rgb="FF0070C0"/>
        </patternFill>
      </fill>
      <alignment vertical="center" wrapText="1"/>
    </dxf>
  </dxfs>
  <tableStyles count="0" defaultTableStyle="TableStyleMedium9" defaultPivotStyle="PivotStyleLight16"/>
  <colors>
    <mruColors>
      <color rgb="FFCC9900"/>
      <color rgb="FFFFE697"/>
      <color rgb="FFFF4F4F"/>
      <color rgb="FFCCCC00"/>
      <color rgb="FF66FF66"/>
      <color rgb="FFFEF4EC"/>
      <color rgb="FFFFFF99"/>
      <color rgb="FFEFF9FF"/>
      <color rgb="FFB9E3FF"/>
      <color rgb="FFFF8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HSE!TablaDinámica11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048908452550715E-2"/>
          <c:y val="7.0991471876299006E-2"/>
          <c:w val="0.9699510915474493"/>
          <c:h val="0.710386301339233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HSE'!$D$62</c:f>
              <c:strCache>
                <c:ptCount val="1"/>
                <c:pt idx="0">
                  <c:v>- CNX 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HSE'!$D$63:$D$64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8-4B63-833B-55A44133A252}"/>
            </c:ext>
          </c:extLst>
        </c:ser>
        <c:ser>
          <c:idx val="1"/>
          <c:order val="1"/>
          <c:tx>
            <c:strRef>
              <c:f>'GRAF HSE'!$E$62</c:f>
              <c:strCache>
                <c:ptCount val="1"/>
                <c:pt idx="0">
                  <c:v>- CNX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HSE'!$E$63:$E$64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8-4B63-833B-55A44133A252}"/>
            </c:ext>
          </c:extLst>
        </c:ser>
        <c:ser>
          <c:idx val="2"/>
          <c:order val="2"/>
          <c:tx>
            <c:strRef>
              <c:f>'GRAF HSE'!$F$62</c:f>
              <c:strCache>
                <c:ptCount val="1"/>
                <c:pt idx="0">
                  <c:v>- CNX 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HSE'!$F$63:$F$64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A8-4B63-833B-55A44133A252}"/>
            </c:ext>
          </c:extLst>
        </c:ser>
        <c:ser>
          <c:idx val="3"/>
          <c:order val="3"/>
          <c:tx>
            <c:strRef>
              <c:f>'GRAF HSE'!$G$62</c:f>
              <c:strCache>
                <c:ptCount val="1"/>
                <c:pt idx="0">
                  <c:v>- CNX 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HSE'!$G$63:$G$64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8-4B63-833B-55A44133A252}"/>
            </c:ext>
          </c:extLst>
        </c:ser>
        <c:ser>
          <c:idx val="4"/>
          <c:order val="4"/>
          <c:tx>
            <c:strRef>
              <c:f>'GRAF HSE'!$H$62</c:f>
              <c:strCache>
                <c:ptCount val="1"/>
                <c:pt idx="0">
                  <c:v>- CNX 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HSE'!$H$63:$H$64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A8-4B63-833B-55A44133A252}"/>
            </c:ext>
          </c:extLst>
        </c:ser>
        <c:ser>
          <c:idx val="5"/>
          <c:order val="5"/>
          <c:tx>
            <c:strRef>
              <c:f>'GRAF HSE'!$I$62</c:f>
              <c:strCache>
                <c:ptCount val="1"/>
                <c:pt idx="0">
                  <c:v>- CNX 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HSE'!$I$63:$I$64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A8-4B63-833B-55A44133A252}"/>
            </c:ext>
          </c:extLst>
        </c:ser>
        <c:ser>
          <c:idx val="6"/>
          <c:order val="6"/>
          <c:tx>
            <c:strRef>
              <c:f>'GRAF HSE'!$J$62</c:f>
              <c:strCache>
                <c:ptCount val="1"/>
                <c:pt idx="0">
                  <c:v>- CNX 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HSE'!$J$63:$J$64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4-4723-A69F-4CD93BEF2325}"/>
            </c:ext>
          </c:extLst>
        </c:ser>
        <c:ser>
          <c:idx val="7"/>
          <c:order val="7"/>
          <c:tx>
            <c:strRef>
              <c:f>'GRAF HSE'!$K$62</c:f>
              <c:strCache>
                <c:ptCount val="1"/>
                <c:pt idx="0">
                  <c:v>- CNX 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HSE'!$K$63:$K$64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A-4FEC-A986-99E324E99218}"/>
            </c:ext>
          </c:extLst>
        </c:ser>
        <c:ser>
          <c:idx val="8"/>
          <c:order val="8"/>
          <c:tx>
            <c:strRef>
              <c:f>'GRAF HSE'!$L$62</c:f>
              <c:strCache>
                <c:ptCount val="1"/>
                <c:pt idx="0">
                  <c:v>- CNX 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HSE'!$L$63:$L$64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C0-4CC0-A174-6411865C9E7B}"/>
            </c:ext>
          </c:extLst>
        </c:ser>
        <c:ser>
          <c:idx val="9"/>
          <c:order val="9"/>
          <c:tx>
            <c:strRef>
              <c:f>'GRAF HSE'!$M$62</c:f>
              <c:strCache>
                <c:ptCount val="1"/>
                <c:pt idx="0">
                  <c:v>- CNX 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HSE'!$M$63:$M$64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C0-4CC0-A174-6411865C9E7B}"/>
            </c:ext>
          </c:extLst>
        </c:ser>
        <c:ser>
          <c:idx val="10"/>
          <c:order val="10"/>
          <c:tx>
            <c:strRef>
              <c:f>'GRAF HSE'!$N$62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HSE'!$N$63:$N$64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C0-4CC0-A174-6411865C9E7B}"/>
            </c:ext>
          </c:extLst>
        </c:ser>
        <c:ser>
          <c:idx val="11"/>
          <c:order val="11"/>
          <c:tx>
            <c:strRef>
              <c:f>'GRAF HSE'!$O$62</c:f>
              <c:strCache>
                <c:ptCount val="1"/>
                <c:pt idx="0">
                  <c:v>- CNX DIC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HSE'!$C$63:$C$64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HSE'!$O$63:$O$64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84C0-4CC0-A174-6411865C9E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81739807"/>
        <c:axId val="1581758527"/>
      </c:barChart>
      <c:catAx>
        <c:axId val="1581739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1758527"/>
        <c:crosses val="autoZero"/>
        <c:auto val="1"/>
        <c:lblAlgn val="ctr"/>
        <c:lblOffset val="100"/>
        <c:noMultiLvlLbl val="0"/>
      </c:catAx>
      <c:valAx>
        <c:axId val="15817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8173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693415324667407E-2"/>
          <c:y val="0.85348169719026235"/>
          <c:w val="0.79916613269704873"/>
          <c:h val="0.11764796297871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HSE!TablaDinámica25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HSE'!$D$81</c:f>
              <c:strCache>
                <c:ptCount val="1"/>
                <c:pt idx="0">
                  <c:v>- BV 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HSE'!$D$82:$D$83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1-44F9-8054-54C097B414FE}"/>
            </c:ext>
          </c:extLst>
        </c:ser>
        <c:ser>
          <c:idx val="1"/>
          <c:order val="1"/>
          <c:tx>
            <c:strRef>
              <c:f>'GRAF HSE'!$E$81</c:f>
              <c:strCache>
                <c:ptCount val="1"/>
                <c:pt idx="0">
                  <c:v>- BV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HSE'!$E$82:$E$83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1-44F9-8054-54C097B414FE}"/>
            </c:ext>
          </c:extLst>
        </c:ser>
        <c:ser>
          <c:idx val="2"/>
          <c:order val="2"/>
          <c:tx>
            <c:strRef>
              <c:f>'GRAF HSE'!$F$81</c:f>
              <c:strCache>
                <c:ptCount val="1"/>
                <c:pt idx="0">
                  <c:v>- BV 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HSE'!$F$82:$F$83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C-44AC-97F1-A3C4059E2974}"/>
            </c:ext>
          </c:extLst>
        </c:ser>
        <c:ser>
          <c:idx val="3"/>
          <c:order val="3"/>
          <c:tx>
            <c:strRef>
              <c:f>'GRAF HSE'!$G$81</c:f>
              <c:strCache>
                <c:ptCount val="1"/>
                <c:pt idx="0">
                  <c:v>- BV 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HSE'!$G$82:$G$83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3C-44AC-97F1-A3C4059E2974}"/>
            </c:ext>
          </c:extLst>
        </c:ser>
        <c:ser>
          <c:idx val="4"/>
          <c:order val="4"/>
          <c:tx>
            <c:strRef>
              <c:f>'GRAF HSE'!$H$81</c:f>
              <c:strCache>
                <c:ptCount val="1"/>
                <c:pt idx="0">
                  <c:v>- BV 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HSE'!$H$82:$H$83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3C-44AC-97F1-A3C4059E2974}"/>
            </c:ext>
          </c:extLst>
        </c:ser>
        <c:ser>
          <c:idx val="5"/>
          <c:order val="5"/>
          <c:tx>
            <c:strRef>
              <c:f>'GRAF HSE'!$I$81</c:f>
              <c:strCache>
                <c:ptCount val="1"/>
                <c:pt idx="0">
                  <c:v>- BV 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HSE'!$I$82:$I$83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3C-44AC-97F1-A3C4059E2974}"/>
            </c:ext>
          </c:extLst>
        </c:ser>
        <c:ser>
          <c:idx val="6"/>
          <c:order val="6"/>
          <c:tx>
            <c:strRef>
              <c:f>'GRAF HSE'!$J$81</c:f>
              <c:strCache>
                <c:ptCount val="1"/>
                <c:pt idx="0">
                  <c:v>- BV 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HSE'!$J$82:$J$83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7-4BE3-ADDF-E91F61890BA8}"/>
            </c:ext>
          </c:extLst>
        </c:ser>
        <c:ser>
          <c:idx val="7"/>
          <c:order val="7"/>
          <c:tx>
            <c:strRef>
              <c:f>'GRAF HSE'!$K$81</c:f>
              <c:strCache>
                <c:ptCount val="1"/>
                <c:pt idx="0">
                  <c:v>- BV 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HSE'!$K$82:$K$83</c:f>
              <c:numCache>
                <c:formatCode>General</c:formatCode>
                <c:ptCount val="1"/>
                <c:pt idx="0">
                  <c:v>1.1399999999999999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87-4BE3-ADDF-E91F61890BA8}"/>
            </c:ext>
          </c:extLst>
        </c:ser>
        <c:ser>
          <c:idx val="8"/>
          <c:order val="8"/>
          <c:tx>
            <c:strRef>
              <c:f>'GRAF HSE'!$L$81</c:f>
              <c:strCache>
                <c:ptCount val="1"/>
                <c:pt idx="0">
                  <c:v>- BV 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HSE'!$L$82:$L$83</c:f>
              <c:numCache>
                <c:formatCode>General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87-4BE3-ADDF-E91F61890BA8}"/>
            </c:ext>
          </c:extLst>
        </c:ser>
        <c:ser>
          <c:idx val="9"/>
          <c:order val="9"/>
          <c:tx>
            <c:strRef>
              <c:f>'GRAF HSE'!$M$81</c:f>
              <c:strCache>
                <c:ptCount val="1"/>
                <c:pt idx="0">
                  <c:v>- BV 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HSE'!$M$82:$M$83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87-4BE3-ADDF-E91F61890BA8}"/>
            </c:ext>
          </c:extLst>
        </c:ser>
        <c:ser>
          <c:idx val="10"/>
          <c:order val="10"/>
          <c:tx>
            <c:strRef>
              <c:f>'GRAF HSE'!$N$81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HSE'!$N$82:$N$83</c:f>
              <c:numCache>
                <c:formatCode>General</c:formatCode>
                <c:ptCount val="1"/>
                <c:pt idx="0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87-4BE3-ADDF-E91F61890BA8}"/>
            </c:ext>
          </c:extLst>
        </c:ser>
        <c:ser>
          <c:idx val="11"/>
          <c:order val="11"/>
          <c:tx>
            <c:strRef>
              <c:f>'GRAF HSE'!$O$81</c:f>
              <c:strCache>
                <c:ptCount val="1"/>
                <c:pt idx="0">
                  <c:v>- BV DIC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HSE'!$C$82:$C$83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HSE'!$O$82:$O$83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3087-4BE3-ADDF-E91F61890B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830815"/>
        <c:axId val="1992831647"/>
      </c:barChart>
      <c:catAx>
        <c:axId val="199283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1992831647"/>
        <c:crosses val="autoZero"/>
        <c:auto val="1"/>
        <c:lblAlgn val="ctr"/>
        <c:lblOffset val="100"/>
        <c:noMultiLvlLbl val="0"/>
      </c:catAx>
      <c:valAx>
        <c:axId val="199283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83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HSE!TablaDinámica26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HSE'!$D$102</c:f>
              <c:strCache>
                <c:ptCount val="1"/>
                <c:pt idx="0">
                  <c:v>- TUR 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HSE'!$D$103:$D$104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FEB-8D89-02A0C0646732}"/>
            </c:ext>
          </c:extLst>
        </c:ser>
        <c:ser>
          <c:idx val="1"/>
          <c:order val="1"/>
          <c:tx>
            <c:strRef>
              <c:f>'GRAF HSE'!$E$102</c:f>
              <c:strCache>
                <c:ptCount val="1"/>
                <c:pt idx="0">
                  <c:v>- TUR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HSE'!$E$103:$E$104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4-4FEB-8D89-02A0C0646732}"/>
            </c:ext>
          </c:extLst>
        </c:ser>
        <c:ser>
          <c:idx val="2"/>
          <c:order val="2"/>
          <c:tx>
            <c:strRef>
              <c:f>'GRAF HSE'!$F$102</c:f>
              <c:strCache>
                <c:ptCount val="1"/>
                <c:pt idx="0">
                  <c:v>- TUR 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HSE'!$F$103:$F$104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C-4824-AE79-279E0CE9E5EE}"/>
            </c:ext>
          </c:extLst>
        </c:ser>
        <c:ser>
          <c:idx val="3"/>
          <c:order val="3"/>
          <c:tx>
            <c:strRef>
              <c:f>'GRAF HSE'!$G$102</c:f>
              <c:strCache>
                <c:ptCount val="1"/>
                <c:pt idx="0">
                  <c:v>- TUR 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HSE'!$G$103:$G$104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C-4824-AE79-279E0CE9E5EE}"/>
            </c:ext>
          </c:extLst>
        </c:ser>
        <c:ser>
          <c:idx val="4"/>
          <c:order val="4"/>
          <c:tx>
            <c:strRef>
              <c:f>'GRAF HSE'!$H$102</c:f>
              <c:strCache>
                <c:ptCount val="1"/>
                <c:pt idx="0">
                  <c:v>-TUR 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HSE'!$H$103:$H$104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138C-4824-AE79-279E0CE9E5EE}"/>
            </c:ext>
          </c:extLst>
        </c:ser>
        <c:ser>
          <c:idx val="5"/>
          <c:order val="5"/>
          <c:tx>
            <c:strRef>
              <c:f>'GRAF HSE'!$I$102</c:f>
              <c:strCache>
                <c:ptCount val="1"/>
                <c:pt idx="0">
                  <c:v>-TUR 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HSE'!$I$103:$I$104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138C-4824-AE79-279E0CE9E5EE}"/>
            </c:ext>
          </c:extLst>
        </c:ser>
        <c:ser>
          <c:idx val="6"/>
          <c:order val="6"/>
          <c:tx>
            <c:strRef>
              <c:f>'GRAF HSE'!$J$102</c:f>
              <c:strCache>
                <c:ptCount val="1"/>
                <c:pt idx="0">
                  <c:v>- TUR 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HSE'!$J$103:$J$104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3CA6-44AD-9A3C-EAC3AB0CED57}"/>
            </c:ext>
          </c:extLst>
        </c:ser>
        <c:ser>
          <c:idx val="7"/>
          <c:order val="7"/>
          <c:tx>
            <c:strRef>
              <c:f>'GRAF HSE'!$K$102</c:f>
              <c:strCache>
                <c:ptCount val="1"/>
                <c:pt idx="0">
                  <c:v>- TUR 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HSE'!$K$103:$K$104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41E6-4FC9-9C29-9A6DCA9232D9}"/>
            </c:ext>
          </c:extLst>
        </c:ser>
        <c:ser>
          <c:idx val="8"/>
          <c:order val="8"/>
          <c:tx>
            <c:strRef>
              <c:f>'GRAF HSE'!$L$102</c:f>
              <c:strCache>
                <c:ptCount val="1"/>
                <c:pt idx="0">
                  <c:v>- TUR 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HSE'!$L$103:$L$104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41E6-4FC9-9C29-9A6DCA9232D9}"/>
            </c:ext>
          </c:extLst>
        </c:ser>
        <c:ser>
          <c:idx val="9"/>
          <c:order val="9"/>
          <c:tx>
            <c:strRef>
              <c:f>'GRAF HSE'!$M$102</c:f>
              <c:strCache>
                <c:ptCount val="1"/>
                <c:pt idx="0">
                  <c:v>- TUR 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HSE'!$M$103:$M$104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41E6-4FC9-9C29-9A6DCA9232D9}"/>
            </c:ext>
          </c:extLst>
        </c:ser>
        <c:ser>
          <c:idx val="10"/>
          <c:order val="10"/>
          <c:tx>
            <c:strRef>
              <c:f>'GRAF HSE'!$N$102</c:f>
              <c:strCache>
                <c:ptCount val="1"/>
                <c:pt idx="0">
                  <c:v>- TUR 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HSE'!$N$103:$N$104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41E6-4FC9-9C29-9A6DCA9232D9}"/>
            </c:ext>
          </c:extLst>
        </c:ser>
        <c:ser>
          <c:idx val="11"/>
          <c:order val="11"/>
          <c:tx>
            <c:strRef>
              <c:f>'GRAF HSE'!$O$102</c:f>
              <c:strCache>
                <c:ptCount val="1"/>
                <c:pt idx="0">
                  <c:v>- TUR DIC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HSE'!$C$103:$C$104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HSE'!$O$103:$O$104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41E6-4FC9-9C29-9A6DCA9232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852447"/>
        <c:axId val="1992849951"/>
      </c:barChart>
      <c:catAx>
        <c:axId val="199285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1992849951"/>
        <c:crosses val="autoZero"/>
        <c:auto val="1"/>
        <c:lblAlgn val="ctr"/>
        <c:lblOffset val="100"/>
        <c:noMultiLvlLbl val="0"/>
      </c:catAx>
      <c:valAx>
        <c:axId val="19928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85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HSE!TablaDinámica27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HSE'!$D$119</c:f>
              <c:strCache>
                <c:ptCount val="1"/>
                <c:pt idx="0">
                  <c:v>- CSH 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HSE'!$D$120:$D$121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7-4D46-8E89-8A96EB6D1AED}"/>
            </c:ext>
          </c:extLst>
        </c:ser>
        <c:ser>
          <c:idx val="1"/>
          <c:order val="1"/>
          <c:tx>
            <c:strRef>
              <c:f>'GRAF HSE'!$E$119</c:f>
              <c:strCache>
                <c:ptCount val="1"/>
                <c:pt idx="0">
                  <c:v>- CSH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HSE'!$E$120:$E$121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7-4D46-8E89-8A96EB6D1AED}"/>
            </c:ext>
          </c:extLst>
        </c:ser>
        <c:ser>
          <c:idx val="2"/>
          <c:order val="2"/>
          <c:tx>
            <c:strRef>
              <c:f>'GRAF HSE'!$F$119</c:f>
              <c:strCache>
                <c:ptCount val="1"/>
                <c:pt idx="0">
                  <c:v>-CSH 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HSE'!$F$120:$F$121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7-4D46-8E89-8A96EB6D1AED}"/>
            </c:ext>
          </c:extLst>
        </c:ser>
        <c:ser>
          <c:idx val="3"/>
          <c:order val="3"/>
          <c:tx>
            <c:strRef>
              <c:f>'GRAF HSE'!$G$119</c:f>
              <c:strCache>
                <c:ptCount val="1"/>
                <c:pt idx="0">
                  <c:v>- CSH 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HSE'!$G$120:$G$121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F-485E-9FCA-9422AA2E5E0B}"/>
            </c:ext>
          </c:extLst>
        </c:ser>
        <c:ser>
          <c:idx val="4"/>
          <c:order val="4"/>
          <c:tx>
            <c:strRef>
              <c:f>'GRAF HSE'!$H$119</c:f>
              <c:strCache>
                <c:ptCount val="1"/>
                <c:pt idx="0">
                  <c:v>- CSH 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HSE'!$H$120:$H$121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7F-485E-9FCA-9422AA2E5E0B}"/>
            </c:ext>
          </c:extLst>
        </c:ser>
        <c:ser>
          <c:idx val="5"/>
          <c:order val="5"/>
          <c:tx>
            <c:strRef>
              <c:f>'GRAF HSE'!$I$119</c:f>
              <c:strCache>
                <c:ptCount val="1"/>
                <c:pt idx="0">
                  <c:v>-CSH 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HSE'!$I$120:$I$121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B-413E-B514-383F97F49A85}"/>
            </c:ext>
          </c:extLst>
        </c:ser>
        <c:ser>
          <c:idx val="6"/>
          <c:order val="6"/>
          <c:tx>
            <c:strRef>
              <c:f>'GRAF HSE'!$J$119</c:f>
              <c:strCache>
                <c:ptCount val="1"/>
                <c:pt idx="0">
                  <c:v>- CSH 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HSE'!$J$120:$J$121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B-413E-B514-383F97F49A85}"/>
            </c:ext>
          </c:extLst>
        </c:ser>
        <c:ser>
          <c:idx val="7"/>
          <c:order val="7"/>
          <c:tx>
            <c:strRef>
              <c:f>'GRAF HSE'!$K$119</c:f>
              <c:strCache>
                <c:ptCount val="1"/>
                <c:pt idx="0">
                  <c:v>- CSH 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HSE'!$K$120:$K$121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BB-413E-B514-383F97F49A85}"/>
            </c:ext>
          </c:extLst>
        </c:ser>
        <c:ser>
          <c:idx val="8"/>
          <c:order val="8"/>
          <c:tx>
            <c:strRef>
              <c:f>'GRAF HSE'!$L$119</c:f>
              <c:strCache>
                <c:ptCount val="1"/>
                <c:pt idx="0">
                  <c:v>- CSH 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HSE'!$L$120:$L$121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BB-413E-B514-383F97F49A85}"/>
            </c:ext>
          </c:extLst>
        </c:ser>
        <c:ser>
          <c:idx val="9"/>
          <c:order val="9"/>
          <c:tx>
            <c:strRef>
              <c:f>'GRAF HSE'!$M$119</c:f>
              <c:strCache>
                <c:ptCount val="1"/>
                <c:pt idx="0">
                  <c:v>- CSH 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HSE'!$M$120:$M$121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BB-413E-B514-383F97F49A85}"/>
            </c:ext>
          </c:extLst>
        </c:ser>
        <c:ser>
          <c:idx val="10"/>
          <c:order val="10"/>
          <c:tx>
            <c:strRef>
              <c:f>'GRAF HSE'!$N$119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HSE'!$N$120:$N$121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BB-413E-B514-383F97F49A85}"/>
            </c:ext>
          </c:extLst>
        </c:ser>
        <c:ser>
          <c:idx val="11"/>
          <c:order val="11"/>
          <c:tx>
            <c:strRef>
              <c:f>'GRAF HSE'!$O$119</c:f>
              <c:strCache>
                <c:ptCount val="1"/>
                <c:pt idx="0">
                  <c:v>- CSH DIC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HSE'!$C$120:$C$121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HSE'!$O$120:$O$121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67BB-413E-B514-383F97F49A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859519"/>
        <c:axId val="1992862015"/>
      </c:barChart>
      <c:catAx>
        <c:axId val="199285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1992862015"/>
        <c:crosses val="autoZero"/>
        <c:auto val="1"/>
        <c:lblAlgn val="ctr"/>
        <c:lblOffset val="100"/>
        <c:noMultiLvlLbl val="0"/>
      </c:catAx>
      <c:valAx>
        <c:axId val="19928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85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HSE!TablaDinámica28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HSE'!$D$40</c:f>
              <c:strCache>
                <c:ptCount val="1"/>
                <c:pt idx="0">
                  <c:v>- TBG ENE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HSE'!$D$41:$D$42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2-4369-9F0D-A607E9F36BC3}"/>
            </c:ext>
          </c:extLst>
        </c:ser>
        <c:ser>
          <c:idx val="1"/>
          <c:order val="1"/>
          <c:tx>
            <c:strRef>
              <c:f>'GRAF HSE'!$E$40</c:f>
              <c:strCache>
                <c:ptCount val="1"/>
                <c:pt idx="0">
                  <c:v>- TBG FEB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HSE'!$E$41:$E$42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C2-4369-9F0D-A607E9F36BC3}"/>
            </c:ext>
          </c:extLst>
        </c:ser>
        <c:ser>
          <c:idx val="2"/>
          <c:order val="2"/>
          <c:tx>
            <c:strRef>
              <c:f>'GRAF HSE'!$F$40</c:f>
              <c:strCache>
                <c:ptCount val="1"/>
                <c:pt idx="0">
                  <c:v>- TBG 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HSE'!$F$41:$F$42</c:f>
              <c:numCache>
                <c:formatCode>General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C2-4369-9F0D-A607E9F36BC3}"/>
            </c:ext>
          </c:extLst>
        </c:ser>
        <c:ser>
          <c:idx val="3"/>
          <c:order val="3"/>
          <c:tx>
            <c:strRef>
              <c:f>'GRAF HSE'!$G$40</c:f>
              <c:strCache>
                <c:ptCount val="1"/>
                <c:pt idx="0">
                  <c:v>- TBG 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HSE'!$G$41:$G$42</c:f>
              <c:numCache>
                <c:formatCode>General</c:formatCode>
                <c:ptCount val="1"/>
                <c:pt idx="0">
                  <c:v>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C2-4369-9F0D-A607E9F36BC3}"/>
            </c:ext>
          </c:extLst>
        </c:ser>
        <c:ser>
          <c:idx val="4"/>
          <c:order val="4"/>
          <c:tx>
            <c:strRef>
              <c:f>'GRAF HSE'!$H$40</c:f>
              <c:strCache>
                <c:ptCount val="1"/>
                <c:pt idx="0">
                  <c:v>-TBG 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HSE'!$H$41:$H$42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C2-4369-9F0D-A607E9F36BC3}"/>
            </c:ext>
          </c:extLst>
        </c:ser>
        <c:ser>
          <c:idx val="5"/>
          <c:order val="5"/>
          <c:tx>
            <c:strRef>
              <c:f>'GRAF HSE'!$I$40</c:f>
              <c:strCache>
                <c:ptCount val="1"/>
                <c:pt idx="0">
                  <c:v>-TBG 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HSE'!$I$41:$I$42</c:f>
              <c:numCache>
                <c:formatCode>General</c:formatCode>
                <c:ptCount val="1"/>
                <c:pt idx="0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C2-4369-9F0D-A607E9F36BC3}"/>
            </c:ext>
          </c:extLst>
        </c:ser>
        <c:ser>
          <c:idx val="6"/>
          <c:order val="6"/>
          <c:tx>
            <c:strRef>
              <c:f>'GRAF HSE'!$J$40</c:f>
              <c:strCache>
                <c:ptCount val="1"/>
                <c:pt idx="0">
                  <c:v>- TBG 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HSE'!$J$41:$J$42</c:f>
              <c:numCache>
                <c:formatCode>General</c:formatCode>
                <c:ptCount val="1"/>
                <c:pt idx="0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C-4B9C-B181-30F2D8A24D59}"/>
            </c:ext>
          </c:extLst>
        </c:ser>
        <c:ser>
          <c:idx val="7"/>
          <c:order val="7"/>
          <c:tx>
            <c:strRef>
              <c:f>'GRAF HSE'!$K$40</c:f>
              <c:strCache>
                <c:ptCount val="1"/>
                <c:pt idx="0">
                  <c:v>- TBG 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HSE'!$K$41:$K$42</c:f>
              <c:numCache>
                <c:formatCode>General</c:formatCode>
                <c:ptCount val="1"/>
                <c:pt idx="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9-434D-8F22-13BA31912760}"/>
            </c:ext>
          </c:extLst>
        </c:ser>
        <c:ser>
          <c:idx val="8"/>
          <c:order val="8"/>
          <c:tx>
            <c:strRef>
              <c:f>'GRAF HSE'!$L$40</c:f>
              <c:strCache>
                <c:ptCount val="1"/>
                <c:pt idx="0">
                  <c:v>- TBG 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HSE'!$L$41:$L$42</c:f>
              <c:numCache>
                <c:formatCode>General</c:formatCode>
                <c:ptCount val="1"/>
                <c:pt idx="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5-4BFD-BC5B-4AB2EA10C642}"/>
            </c:ext>
          </c:extLst>
        </c:ser>
        <c:ser>
          <c:idx val="9"/>
          <c:order val="9"/>
          <c:tx>
            <c:strRef>
              <c:f>'GRAF HSE'!$M$40</c:f>
              <c:strCache>
                <c:ptCount val="1"/>
                <c:pt idx="0">
                  <c:v>- TBG 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HSE'!$M$41:$M$42</c:f>
              <c:numCache>
                <c:formatCode>General</c:formatCode>
                <c:ptCount val="1"/>
                <c:pt idx="0">
                  <c:v>0.50800000000000001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8-46E6-8622-FF4B33F4B371}"/>
            </c:ext>
          </c:extLst>
        </c:ser>
        <c:ser>
          <c:idx val="10"/>
          <c:order val="10"/>
          <c:tx>
            <c:strRef>
              <c:f>'GRAF HSE'!$N$40</c:f>
              <c:strCache>
                <c:ptCount val="1"/>
                <c:pt idx="0">
                  <c:v>- TBG 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HSE'!$N$41:$N$42</c:f>
              <c:numCache>
                <c:formatCode>General</c:formatCode>
                <c:ptCount val="1"/>
                <c:pt idx="0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28-46E6-8622-FF4B33F4B371}"/>
            </c:ext>
          </c:extLst>
        </c:ser>
        <c:ser>
          <c:idx val="11"/>
          <c:order val="11"/>
          <c:tx>
            <c:strRef>
              <c:f>'GRAF HSE'!$O$40</c:f>
              <c:strCache>
                <c:ptCount val="1"/>
                <c:pt idx="0">
                  <c:v>- TBG DIC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HSE'!$C$41:$C$42</c:f>
              <c:strCache>
                <c:ptCount val="1"/>
                <c:pt idx="0">
                  <c:v>Índice de Frecuencia (IF). Incidentes personales con pérdidas de días</c:v>
                </c:pt>
              </c:strCache>
            </c:strRef>
          </c:cat>
          <c:val>
            <c:numRef>
              <c:f>'GRAF HSE'!$O$41:$O$42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F328-46E6-8622-FF4B33F4B3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92966431"/>
        <c:axId val="1992973503"/>
      </c:barChart>
      <c:catAx>
        <c:axId val="1992966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92973503"/>
        <c:crosses val="autoZero"/>
        <c:auto val="1"/>
        <c:lblAlgn val="ctr"/>
        <c:lblOffset val="100"/>
        <c:noMultiLvlLbl val="0"/>
      </c:catAx>
      <c:valAx>
        <c:axId val="199297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96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0757030287334063E-2"/>
          <c:y val="0.84547423559974388"/>
          <c:w val="0.7935773978505668"/>
          <c:h val="0.11852201694372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HSE!TablaDinámica29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EC" sz="1200" b="1" i="0" u="none" strike="noStrike" kern="120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ÍNDICE DE FRECUENCIA EN FUNCIÓN ACCIDENTES PERSONALES (LTI)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200" b="1" i="0" u="none" strike="noStrike" kern="120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COMPARATIVO EMPRESAS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200" b="1" i="0" u="none" strike="noStrike" kern="120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(NOVIEMBRE 2024)</a:t>
            </a:r>
          </a:p>
        </c:rich>
      </c:tx>
      <c:layout>
        <c:manualLayout>
          <c:xMode val="edge"/>
          <c:yMode val="edge"/>
          <c:x val="0.10160679346227082"/>
          <c:y val="5.2455547318669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EC" sz="12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C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EECE1">
                <a:lumMod val="1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dLbl>
          <c:idx val="0"/>
          <c:spPr>
            <a:solidFill>
              <a:srgbClr val="0070C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433654154327239E-2"/>
          <c:y val="0.26451660115739106"/>
          <c:w val="0.93284530872079863"/>
          <c:h val="0.578282935565875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HSE'!$D$10</c:f>
              <c:strCache>
                <c:ptCount val="1"/>
                <c:pt idx="0">
                  <c:v>- TBG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HSE'!$C$11:$C$12</c:f>
              <c:strCache>
                <c:ptCount val="1"/>
                <c:pt idx="0">
                  <c:v>Índice de Frecuencia (IF). Accidentes personales con pérdidas de días</c:v>
                </c:pt>
              </c:strCache>
            </c:strRef>
          </c:cat>
          <c:val>
            <c:numRef>
              <c:f>'GRAF HSE'!$D$11:$D$12</c:f>
              <c:numCache>
                <c:formatCode>General</c:formatCode>
                <c:ptCount val="1"/>
                <c:pt idx="0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3-4F5C-9158-395ABF295A15}"/>
            </c:ext>
          </c:extLst>
        </c:ser>
        <c:ser>
          <c:idx val="1"/>
          <c:order val="1"/>
          <c:tx>
            <c:strRef>
              <c:f>'GRAF HSE'!$E$10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HSE'!$C$11:$C$12</c:f>
              <c:strCache>
                <c:ptCount val="1"/>
                <c:pt idx="0">
                  <c:v>Índice de Frecuencia (IF). Accidentes personales con pérdidas de días</c:v>
                </c:pt>
              </c:strCache>
            </c:strRef>
          </c:cat>
          <c:val>
            <c:numRef>
              <c:f>'GRAF HSE'!$E$11:$E$12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BD-46C4-A33A-E52ED78C70B1}"/>
            </c:ext>
          </c:extLst>
        </c:ser>
        <c:ser>
          <c:idx val="2"/>
          <c:order val="2"/>
          <c:tx>
            <c:strRef>
              <c:f>'GRAF HSE'!$F$10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HSE'!$C$11:$C$12</c:f>
              <c:strCache>
                <c:ptCount val="1"/>
                <c:pt idx="0">
                  <c:v>Índice de Frecuencia (IF). Accidentes personales con pérdidas de días</c:v>
                </c:pt>
              </c:strCache>
            </c:strRef>
          </c:cat>
          <c:val>
            <c:numRef>
              <c:f>'GRAF HSE'!$F$11:$F$12</c:f>
              <c:numCache>
                <c:formatCode>General</c:formatCode>
                <c:ptCount val="1"/>
                <c:pt idx="0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15-45A1-AEE3-A36EBEE4CF61}"/>
            </c:ext>
          </c:extLst>
        </c:ser>
        <c:ser>
          <c:idx val="3"/>
          <c:order val="3"/>
          <c:tx>
            <c:strRef>
              <c:f>'GRAF HSE'!$G$10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HSE'!$C$11:$C$12</c:f>
              <c:strCache>
                <c:ptCount val="1"/>
                <c:pt idx="0">
                  <c:v>Índice de Frecuencia (IF). Accidentes personales con pérdidas de días</c:v>
                </c:pt>
              </c:strCache>
            </c:strRef>
          </c:cat>
          <c:val>
            <c:numRef>
              <c:f>'GRAF HSE'!$G$11:$G$12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30-4073-AED9-7D2DAE892B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738463"/>
        <c:axId val="1992744287"/>
      </c:barChart>
      <c:catAx>
        <c:axId val="1992738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2744287"/>
        <c:crosses val="autoZero"/>
        <c:auto val="1"/>
        <c:lblAlgn val="ctr"/>
        <c:lblOffset val="100"/>
        <c:noMultiLvlLbl val="0"/>
      </c:catAx>
      <c:valAx>
        <c:axId val="199274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199273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144170870709776"/>
          <c:y val="0.87513361811072143"/>
          <c:w val="0.27274380535102671"/>
          <c:h val="5.91049141703478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2060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HSE!TablaDinámica31</c:name>
    <c:fmtId val="25"/>
  </c:pivotSource>
  <c:chart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CC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C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738573344231266E-2"/>
          <c:y val="0.15661375661375659"/>
          <c:w val="0.8162514682785933"/>
          <c:h val="0.711155611239371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HSE'!$D$173</c:f>
              <c:strCache>
                <c:ptCount val="1"/>
                <c:pt idx="0">
                  <c:v>- TBG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HSE'!$C$174:$C$176</c:f>
              <c:strCache>
                <c:ptCount val="2"/>
                <c:pt idx="0">
                  <c:v>Cierre de tarjetas cero</c:v>
                </c:pt>
                <c:pt idx="1">
                  <c:v>Generación de Tarjetas Cero</c:v>
                </c:pt>
              </c:strCache>
            </c:strRef>
          </c:cat>
          <c:val>
            <c:numRef>
              <c:f>'GRAF HSE'!$D$174:$D$176</c:f>
              <c:numCache>
                <c:formatCode>0%</c:formatCode>
                <c:ptCount val="2"/>
                <c:pt idx="0">
                  <c:v>0.9</c:v>
                </c:pt>
                <c:pt idx="1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2-4575-8735-7D21804AB00A}"/>
            </c:ext>
          </c:extLst>
        </c:ser>
        <c:ser>
          <c:idx val="1"/>
          <c:order val="1"/>
          <c:tx>
            <c:strRef>
              <c:f>'GRAF HSE'!$E$173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HSE'!$C$174:$C$176</c:f>
              <c:strCache>
                <c:ptCount val="2"/>
                <c:pt idx="0">
                  <c:v>Cierre de tarjetas cero</c:v>
                </c:pt>
                <c:pt idx="1">
                  <c:v>Generación de Tarjetas Cero</c:v>
                </c:pt>
              </c:strCache>
            </c:strRef>
          </c:cat>
          <c:val>
            <c:numRef>
              <c:f>'GRAF HSE'!$E$174:$E$176</c:f>
              <c:numCache>
                <c:formatCode>0%</c:formatCode>
                <c:ptCount val="2"/>
                <c:pt idx="0">
                  <c:v>1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B2-4575-8735-7D21804AB00A}"/>
            </c:ext>
          </c:extLst>
        </c:ser>
        <c:ser>
          <c:idx val="2"/>
          <c:order val="2"/>
          <c:tx>
            <c:strRef>
              <c:f>'GRAF HSE'!$F$173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HSE'!$C$174:$C$176</c:f>
              <c:strCache>
                <c:ptCount val="2"/>
                <c:pt idx="0">
                  <c:v>Cierre de tarjetas cero</c:v>
                </c:pt>
                <c:pt idx="1">
                  <c:v>Generación de Tarjetas Cero</c:v>
                </c:pt>
              </c:strCache>
            </c:strRef>
          </c:cat>
          <c:val>
            <c:numRef>
              <c:f>'GRAF HSE'!$F$174:$F$176</c:f>
              <c:numCache>
                <c:formatCode>0%</c:formatCode>
                <c:ptCount val="2"/>
                <c:pt idx="0">
                  <c:v>0.94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F-41F0-A19E-7323E5798F2D}"/>
            </c:ext>
          </c:extLst>
        </c:ser>
        <c:ser>
          <c:idx val="3"/>
          <c:order val="3"/>
          <c:tx>
            <c:strRef>
              <c:f>'GRAF HSE'!$G$173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HSE'!$C$174:$C$176</c:f>
              <c:strCache>
                <c:ptCount val="2"/>
                <c:pt idx="0">
                  <c:v>Cierre de tarjetas cero</c:v>
                </c:pt>
                <c:pt idx="1">
                  <c:v>Generación de Tarjetas Cero</c:v>
                </c:pt>
              </c:strCache>
            </c:strRef>
          </c:cat>
          <c:val>
            <c:numRef>
              <c:f>'GRAF HSE'!$G$174:$G$176</c:f>
              <c:numCache>
                <c:formatCode>0%</c:formatCode>
                <c:ptCount val="2"/>
                <c:pt idx="0">
                  <c:v>0.56999999999999995</c:v>
                </c:pt>
                <c:pt idx="1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86-485F-91E0-9DABD83D80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5108431"/>
        <c:axId val="235113007"/>
      </c:barChart>
      <c:catAx>
        <c:axId val="23510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s-EC" sz="1400" b="1" i="0" u="none" strike="noStrike" kern="1200" spc="0" baseline="0">
                    <a:solidFill>
                      <a:srgbClr val="FF0000"/>
                    </a:solidFill>
                    <a:effectLst/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s-EC" sz="1400" b="1" i="0" u="none" strike="noStrike" kern="1200" spc="0" baseline="0">
                    <a:solidFill>
                      <a:srgbClr val="FF0000"/>
                    </a:solidFill>
                    <a:effectLst/>
                    <a:latin typeface="Century Gothic" panose="020B0502020202020204" pitchFamily="34" charset="0"/>
                    <a:ea typeface="+mn-ea"/>
                    <a:cs typeface="+mn-cs"/>
                  </a:rPr>
                  <a:t>PROGRAMA CERO (Comparativo Empresas - Noviembre 2024)</a:t>
                </a:r>
              </a:p>
            </c:rich>
          </c:tx>
          <c:layout>
            <c:manualLayout>
              <c:xMode val="edge"/>
              <c:yMode val="edge"/>
              <c:x val="0.24945172085781772"/>
              <c:y val="2.910953600991047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lang="es-EC" sz="1400" b="1" i="0" u="none" strike="noStrike" kern="1200" spc="0" baseline="0">
                  <a:solidFill>
                    <a:srgbClr val="FF0000"/>
                  </a:solidFill>
                  <a:effectLst/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2060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235113007"/>
        <c:crosses val="autoZero"/>
        <c:auto val="1"/>
        <c:lblAlgn val="ctr"/>
        <c:lblOffset val="100"/>
        <c:noMultiLvlLbl val="0"/>
      </c:catAx>
      <c:valAx>
        <c:axId val="23511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351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7283806074241"/>
          <c:y val="0.32624756673820277"/>
          <c:w val="5.4479451257956044E-2"/>
          <c:h val="0.282784180030579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HSE!TablaDinámica32</c:name>
    <c:fmtId val="26"/>
  </c:pivotSource>
  <c:chart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770535916298909E-2"/>
          <c:y val="0.14814814814814814"/>
          <c:w val="0.87688429353605912"/>
          <c:h val="0.692646544181977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HSE'!$D$193</c:f>
              <c:strCache>
                <c:ptCount val="1"/>
                <c:pt idx="0">
                  <c:v>- TBG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HSE'!$C$194:$C$199</c:f>
              <c:strCache>
                <c:ptCount val="5"/>
                <c:pt idx="0">
                  <c:v>Análisis de Riesgo de Tarea</c:v>
                </c:pt>
                <c:pt idx="1">
                  <c:v>Demanda de seguridad</c:v>
                </c:pt>
                <c:pt idx="2">
                  <c:v>Diálogo Periódico de Seguridad</c:v>
                </c:pt>
                <c:pt idx="3">
                  <c:v>Entrenamientos de seguridad</c:v>
                </c:pt>
                <c:pt idx="4">
                  <c:v>Observación Planeada de acción subestándar</c:v>
                </c:pt>
              </c:strCache>
            </c:strRef>
          </c:cat>
          <c:val>
            <c:numRef>
              <c:f>'GRAF HSE'!$D$194:$D$199</c:f>
              <c:numCache>
                <c:formatCode>0%</c:formatCode>
                <c:ptCount val="5"/>
                <c:pt idx="0">
                  <c:v>1</c:v>
                </c:pt>
                <c:pt idx="1">
                  <c:v>0.97</c:v>
                </c:pt>
                <c:pt idx="2">
                  <c:v>0.98</c:v>
                </c:pt>
                <c:pt idx="3">
                  <c:v>0.97</c:v>
                </c:pt>
                <c:pt idx="4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D-41D6-8F4B-28AC78A89457}"/>
            </c:ext>
          </c:extLst>
        </c:ser>
        <c:ser>
          <c:idx val="1"/>
          <c:order val="1"/>
          <c:tx>
            <c:strRef>
              <c:f>'GRAF HSE'!$E$193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HSE'!$C$194:$C$199</c:f>
              <c:strCache>
                <c:ptCount val="5"/>
                <c:pt idx="0">
                  <c:v>Análisis de Riesgo de Tarea</c:v>
                </c:pt>
                <c:pt idx="1">
                  <c:v>Demanda de seguridad</c:v>
                </c:pt>
                <c:pt idx="2">
                  <c:v>Diálogo Periódico de Seguridad</c:v>
                </c:pt>
                <c:pt idx="3">
                  <c:v>Entrenamientos de seguridad</c:v>
                </c:pt>
                <c:pt idx="4">
                  <c:v>Observación Planeada de acción subestándar</c:v>
                </c:pt>
              </c:strCache>
            </c:strRef>
          </c:cat>
          <c:val>
            <c:numRef>
              <c:f>'GRAF HSE'!$E$194:$E$199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0.94299999999999995</c:v>
                </c:pt>
                <c:pt idx="3">
                  <c:v>0.91400000000000003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AD-41D6-8F4B-28AC78A89457}"/>
            </c:ext>
          </c:extLst>
        </c:ser>
        <c:ser>
          <c:idx val="2"/>
          <c:order val="2"/>
          <c:tx>
            <c:strRef>
              <c:f>'GRAF HSE'!$F$193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HSE'!$C$194:$C$199</c:f>
              <c:strCache>
                <c:ptCount val="5"/>
                <c:pt idx="0">
                  <c:v>Análisis de Riesgo de Tarea</c:v>
                </c:pt>
                <c:pt idx="1">
                  <c:v>Demanda de seguridad</c:v>
                </c:pt>
                <c:pt idx="2">
                  <c:v>Diálogo Periódico de Seguridad</c:v>
                </c:pt>
                <c:pt idx="3">
                  <c:v>Entrenamientos de seguridad</c:v>
                </c:pt>
                <c:pt idx="4">
                  <c:v>Observación Planeada de acción subestándar</c:v>
                </c:pt>
              </c:strCache>
            </c:strRef>
          </c:cat>
          <c:val>
            <c:numRef>
              <c:f>'GRAF HSE'!$F$194:$F$199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0.86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E9-4956-8290-D7EE3D6A6CF8}"/>
            </c:ext>
          </c:extLst>
        </c:ser>
        <c:ser>
          <c:idx val="3"/>
          <c:order val="3"/>
          <c:tx>
            <c:strRef>
              <c:f>'GRAF HSE'!$G$193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HSE'!$C$194:$C$199</c:f>
              <c:strCache>
                <c:ptCount val="5"/>
                <c:pt idx="0">
                  <c:v>Análisis de Riesgo de Tarea</c:v>
                </c:pt>
                <c:pt idx="1">
                  <c:v>Demanda de seguridad</c:v>
                </c:pt>
                <c:pt idx="2">
                  <c:v>Diálogo Periódico de Seguridad</c:v>
                </c:pt>
                <c:pt idx="3">
                  <c:v>Entrenamientos de seguridad</c:v>
                </c:pt>
                <c:pt idx="4">
                  <c:v>Observación Planeada de acción subestándar</c:v>
                </c:pt>
              </c:strCache>
            </c:strRef>
          </c:cat>
          <c:val>
            <c:numRef>
              <c:f>'GRAF HSE'!$G$194:$G$199</c:f>
              <c:numCache>
                <c:formatCode>0%</c:formatCode>
                <c:ptCount val="5"/>
                <c:pt idx="0">
                  <c:v>0.98</c:v>
                </c:pt>
                <c:pt idx="1">
                  <c:v>0.97</c:v>
                </c:pt>
                <c:pt idx="2">
                  <c:v>0.96</c:v>
                </c:pt>
                <c:pt idx="3">
                  <c:v>0.96</c:v>
                </c:pt>
                <c:pt idx="4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9-4E08-819C-96E33DCCD1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901535"/>
        <c:axId val="1992895295"/>
      </c:barChart>
      <c:catAx>
        <c:axId val="199290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s-EC" sz="1300" b="1" i="0" u="none" strike="noStrike" kern="1200" spc="0" baseline="0">
                    <a:solidFill>
                      <a:srgbClr val="FF0000"/>
                    </a:solidFill>
                    <a:effectLst/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s-EC" sz="1300" b="1" i="0" u="none" strike="noStrike" kern="1200" spc="0" baseline="0">
                    <a:solidFill>
                      <a:srgbClr val="FF0000"/>
                    </a:solidFill>
                    <a:effectLst/>
                    <a:latin typeface="Century Gothic" panose="020B0502020202020204" pitchFamily="34" charset="0"/>
                    <a:ea typeface="+mn-ea"/>
                    <a:cs typeface="+mn-cs"/>
                  </a:rPr>
                  <a:t>GESTIÓN DE SEGURIDAD INDUSTRIAL / COMPARTIVO HOLDING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s-EC" sz="1300" b="1" spc="0">
                    <a:solidFill>
                      <a:srgbClr val="FF0000"/>
                    </a:solidFill>
                    <a:effectLst/>
                    <a:latin typeface="Century Gothic" panose="020B0502020202020204" pitchFamily="34" charset="0"/>
                  </a:defRPr>
                </a:pPr>
                <a:r>
                  <a:rPr lang="es-EC" sz="1300" b="1" i="0" u="none" strike="noStrike" kern="1200" spc="0" baseline="0">
                    <a:solidFill>
                      <a:srgbClr val="FF0000"/>
                    </a:solidFill>
                    <a:effectLst/>
                    <a:latin typeface="Century Gothic" panose="020B0502020202020204" pitchFamily="34" charset="0"/>
                    <a:ea typeface="+mn-ea"/>
                    <a:cs typeface="+mn-cs"/>
                  </a:rPr>
                  <a:t>(NOVIEMBRE 2024)</a:t>
                </a:r>
              </a:p>
            </c:rich>
          </c:tx>
          <c:layout>
            <c:manualLayout>
              <c:xMode val="edge"/>
              <c:yMode val="edge"/>
              <c:x val="0.29568601646043224"/>
              <c:y val="3.335419627642231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lang="es-EC" sz="1300" b="1" i="0" u="none" strike="noStrike" kern="1200" spc="0" baseline="0">
                  <a:solidFill>
                    <a:srgbClr val="FF0000"/>
                  </a:solidFill>
                  <a:effectLst/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2060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1992895295"/>
        <c:crosses val="autoZero"/>
        <c:auto val="1"/>
        <c:lblAlgn val="ctr"/>
        <c:lblOffset val="100"/>
        <c:noMultiLvlLbl val="0"/>
      </c:catAx>
      <c:valAx>
        <c:axId val="19928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9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036940198047435"/>
          <c:y val="0.14294367655251233"/>
          <c:w val="4.9510907069358914E-2"/>
          <c:h val="0.27057311861861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HSE!TablaDinámica33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GESTION DE SALUD OCUPACIONAL/ COMPARATIVO HOLDING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(NOVIEMBRE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EC" sz="14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CC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HSE'!$D$220</c:f>
              <c:strCache>
                <c:ptCount val="1"/>
                <c:pt idx="0">
                  <c:v>- TBG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HSE'!$C$221:$C$222</c:f>
              <c:strCache>
                <c:ptCount val="1"/>
                <c:pt idx="0">
                  <c:v>Cumplimiento del Plan de Vigilancia de la Salud</c:v>
                </c:pt>
              </c:strCache>
            </c:strRef>
          </c:cat>
          <c:val>
            <c:numRef>
              <c:f>'GRAF HSE'!$D$221:$D$222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7-4C93-8C57-6CDFE7A4375F}"/>
            </c:ext>
          </c:extLst>
        </c:ser>
        <c:ser>
          <c:idx val="1"/>
          <c:order val="1"/>
          <c:tx>
            <c:strRef>
              <c:f>'GRAF HSE'!$E$220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HSE'!$C$221:$C$222</c:f>
              <c:strCache>
                <c:ptCount val="1"/>
                <c:pt idx="0">
                  <c:v>Cumplimiento del Plan de Vigilancia de la Salud</c:v>
                </c:pt>
              </c:strCache>
            </c:strRef>
          </c:cat>
          <c:val>
            <c:numRef>
              <c:f>'GRAF HSE'!$E$221:$E$222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37-4C93-8C57-6CDFE7A4375F}"/>
            </c:ext>
          </c:extLst>
        </c:ser>
        <c:ser>
          <c:idx val="2"/>
          <c:order val="2"/>
          <c:tx>
            <c:strRef>
              <c:f>'GRAF HSE'!$F$220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HSE'!$C$221:$C$222</c:f>
              <c:strCache>
                <c:ptCount val="1"/>
                <c:pt idx="0">
                  <c:v>Cumplimiento del Plan de Vigilancia de la Salud</c:v>
                </c:pt>
              </c:strCache>
            </c:strRef>
          </c:cat>
          <c:val>
            <c:numRef>
              <c:f>'GRAF HSE'!$F$221:$F$222</c:f>
              <c:numCache>
                <c:formatCode>0%</c:formatCode>
                <c:ptCount val="1"/>
                <c:pt idx="0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54-43F6-8845-4D5B96EB2DF3}"/>
            </c:ext>
          </c:extLst>
        </c:ser>
        <c:ser>
          <c:idx val="3"/>
          <c:order val="3"/>
          <c:tx>
            <c:strRef>
              <c:f>'GRAF HSE'!$G$220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HSE'!$C$221:$C$222</c:f>
              <c:strCache>
                <c:ptCount val="1"/>
                <c:pt idx="0">
                  <c:v>Cumplimiento del Plan de Vigilancia de la Salud</c:v>
                </c:pt>
              </c:strCache>
            </c:strRef>
          </c:cat>
          <c:val>
            <c:numRef>
              <c:f>'GRAF HSE'!$G$221:$G$222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54-43F6-8845-4D5B96EB2D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895503"/>
        <c:axId val="146897999"/>
      </c:barChart>
      <c:catAx>
        <c:axId val="146895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897999"/>
        <c:crosses val="autoZero"/>
        <c:auto val="1"/>
        <c:lblAlgn val="ctr"/>
        <c:lblOffset val="100"/>
        <c:noMultiLvlLbl val="0"/>
      </c:catAx>
      <c:valAx>
        <c:axId val="1468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689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005246110961534"/>
          <c:y val="0.88886967951561868"/>
          <c:w val="0.23073940637268373"/>
          <c:h val="7.2714279517448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HSE!TablaDinámica34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</a:rPr>
              <a:t>ÍNDICE DE DESEMPEÑO AMBIENTAL GLOBAL / COMPARATIVO HOLDING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(ENERO - NOVIEMBRE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EC" sz="14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HSE'!$D$241</c:f>
              <c:strCache>
                <c:ptCount val="1"/>
                <c:pt idx="0">
                  <c:v>-TBG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HSE'!$C$242:$C$243</c:f>
              <c:strCache>
                <c:ptCount val="1"/>
                <c:pt idx="0">
                  <c:v>Índice de desempeño ambiental global</c:v>
                </c:pt>
              </c:strCache>
            </c:strRef>
          </c:cat>
          <c:val>
            <c:numRef>
              <c:f>'GRAF HSE'!$D$242:$D$243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2617-4145-A4EB-CB0688EB0997}"/>
            </c:ext>
          </c:extLst>
        </c:ser>
        <c:ser>
          <c:idx val="1"/>
          <c:order val="1"/>
          <c:tx>
            <c:strRef>
              <c:f>'GRAF HSE'!$E$241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HSE'!$C$242:$C$243</c:f>
              <c:strCache>
                <c:ptCount val="1"/>
                <c:pt idx="0">
                  <c:v>Índice de desempeño ambiental global</c:v>
                </c:pt>
              </c:strCache>
            </c:strRef>
          </c:cat>
          <c:val>
            <c:numRef>
              <c:f>'GRAF HSE'!$E$242:$E$243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2617-4145-A4EB-CB0688EB0997}"/>
            </c:ext>
          </c:extLst>
        </c:ser>
        <c:ser>
          <c:idx val="2"/>
          <c:order val="2"/>
          <c:tx>
            <c:strRef>
              <c:f>'GRAF HSE'!$F$241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HSE'!$C$242:$C$243</c:f>
              <c:strCache>
                <c:ptCount val="1"/>
                <c:pt idx="0">
                  <c:v>Índice de desempeño ambiental global</c:v>
                </c:pt>
              </c:strCache>
            </c:strRef>
          </c:cat>
          <c:val>
            <c:numRef>
              <c:f>'GRAF HSE'!$F$242:$F$243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5ECE-44BC-A96B-24B4C1F56D29}"/>
            </c:ext>
          </c:extLst>
        </c:ser>
        <c:ser>
          <c:idx val="3"/>
          <c:order val="3"/>
          <c:tx>
            <c:strRef>
              <c:f>'GRAF HSE'!$G$241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HSE'!$C$242:$C$243</c:f>
              <c:strCache>
                <c:ptCount val="1"/>
                <c:pt idx="0">
                  <c:v>Índice de desempeño ambiental global</c:v>
                </c:pt>
              </c:strCache>
            </c:strRef>
          </c:cat>
          <c:val>
            <c:numRef>
              <c:f>'GRAF HSE'!$G$242:$G$243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1EAD-48F3-8FA8-50840AD32E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9578095"/>
        <c:axId val="1439579759"/>
      </c:barChart>
      <c:catAx>
        <c:axId val="143957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2060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1439579759"/>
        <c:crosses val="autoZero"/>
        <c:auto val="1"/>
        <c:lblAlgn val="ctr"/>
        <c:lblOffset val="100"/>
        <c:noMultiLvlLbl val="0"/>
      </c:catAx>
      <c:valAx>
        <c:axId val="143957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3957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HSE!TablaDinámica35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</a:rPr>
              <a:t>GESTION AMBIENTAL/ COMPARATIVO HOLDING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(ENERO - NOVIEMBRE 2024)</a:t>
            </a:r>
          </a:p>
        </c:rich>
      </c:tx>
      <c:layout>
        <c:manualLayout>
          <c:xMode val="edge"/>
          <c:yMode val="edge"/>
          <c:x val="0.36385758298537491"/>
          <c:y val="5.2001329460140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EC" sz="14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2556574937502328E-2"/>
              <c:y val="-2.35125641793490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2215478735581044E-2"/>
              <c:y val="-2.05734936569304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931780759615743E-3"/>
              <c:y val="-4.70251283586980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6589037980787142E-3"/>
              <c:y val="-2.93907052241862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6589037980787142E-3"/>
              <c:y val="-2.6451634701767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7.7271230384629011E-3"/>
              <c:y val="-2.93907052241862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6589037980785736E-3"/>
              <c:y val="-8.81721156725588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6420136456733816E-2"/>
              <c:y val="-8.81721156725588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7075815939999887E-3"/>
              <c:y val="-2.762106275536862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768953984999972E-3"/>
              <c:y val="-3.91721415132167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7075815939999965E-3"/>
              <c:y val="-2.41059332389026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5460292932499878E-3"/>
              <c:y val="-2.10926915840398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8691338947499594E-3"/>
              <c:y val="-2.7119174893765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844769925006007E-4"/>
              <c:y val="-3.61588998583539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7075815939999887E-3"/>
              <c:y val="-3.61588998583539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1485454326451423E-17"/>
              <c:y val="-3.91721415132167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153430977499958E-3"/>
              <c:y val="-2.762106275536862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153430977499958E-3"/>
              <c:y val="-3.61588998583539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0306861954999916E-3"/>
              <c:y val="-6.026483309725707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2297090865290285E-16"/>
              <c:y val="-3.91721415132167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871654711012268E-2"/>
          <c:y val="0.18283935292167944"/>
          <c:w val="0.94617519251504489"/>
          <c:h val="0.537802623164043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HSE'!$D$265</c:f>
              <c:strCache>
                <c:ptCount val="1"/>
                <c:pt idx="0">
                  <c:v>- TBG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CEC-49D2-BB27-F1BA8768713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3CEC-49D2-BB27-F1BA8768713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CEC-49D2-BB27-F1BA876871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HSE'!$C$266:$C$279</c:f>
              <c:strCache>
                <c:ptCount val="13"/>
                <c:pt idx="0">
                  <c:v>Orden y limpieza</c:v>
                </c:pt>
                <c:pt idx="1">
                  <c:v>Formación y sensibilización ambiental</c:v>
                </c:pt>
                <c:pt idx="2">
                  <c:v>Consumo energético </c:v>
                </c:pt>
                <c:pt idx="3">
                  <c:v>Consumo agua</c:v>
                </c:pt>
                <c:pt idx="4">
                  <c:v>Reciclaje residuos</c:v>
                </c:pt>
                <c:pt idx="5">
                  <c:v>Cumplimiento al plan de monitoreo</c:v>
                </c:pt>
                <c:pt idx="6">
                  <c:v>Cumplimiento límites permisibles emisiones gaseosas</c:v>
                </c:pt>
                <c:pt idx="7">
                  <c:v>Cumplimiento límites permisibles monitoreo aguas</c:v>
                </c:pt>
                <c:pt idx="8">
                  <c:v>Cumplimiento al PMA</c:v>
                </c:pt>
                <c:pt idx="9">
                  <c:v>Cumplimiento acciones correctivas </c:v>
                </c:pt>
                <c:pt idx="10">
                  <c:v>Productos químicos de limpieza biodegradables</c:v>
                </c:pt>
                <c:pt idx="11">
                  <c:v>Innovación tecnológica</c:v>
                </c:pt>
                <c:pt idx="12">
                  <c:v>Talleres ambientales</c:v>
                </c:pt>
              </c:strCache>
            </c:strRef>
          </c:cat>
          <c:val>
            <c:numRef>
              <c:f>'GRAF HSE'!$D$266:$D$279</c:f>
              <c:numCache>
                <c:formatCode>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11-2C46-4269-8E02-249376D0AC03}"/>
            </c:ext>
          </c:extLst>
        </c:ser>
        <c:ser>
          <c:idx val="1"/>
          <c:order val="1"/>
          <c:tx>
            <c:strRef>
              <c:f>'GRAF HSE'!$E$265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CEC-49D2-BB27-F1BA8768713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3CEC-49D2-BB27-F1BA8768713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3CEC-49D2-BB27-F1BA8768713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CEC-49D2-BB27-F1BA8768713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3CEC-49D2-BB27-F1BA87687134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3CEC-49D2-BB27-F1BA876871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HSE'!$C$266:$C$279</c:f>
              <c:strCache>
                <c:ptCount val="13"/>
                <c:pt idx="0">
                  <c:v>Orden y limpieza</c:v>
                </c:pt>
                <c:pt idx="1">
                  <c:v>Formación y sensibilización ambiental</c:v>
                </c:pt>
                <c:pt idx="2">
                  <c:v>Consumo energético </c:v>
                </c:pt>
                <c:pt idx="3">
                  <c:v>Consumo agua</c:v>
                </c:pt>
                <c:pt idx="4">
                  <c:v>Reciclaje residuos</c:v>
                </c:pt>
                <c:pt idx="5">
                  <c:v>Cumplimiento al plan de monitoreo</c:v>
                </c:pt>
                <c:pt idx="6">
                  <c:v>Cumplimiento límites permisibles emisiones gaseosas</c:v>
                </c:pt>
                <c:pt idx="7">
                  <c:v>Cumplimiento límites permisibles monitoreo aguas</c:v>
                </c:pt>
                <c:pt idx="8">
                  <c:v>Cumplimiento al PMA</c:v>
                </c:pt>
                <c:pt idx="9">
                  <c:v>Cumplimiento acciones correctivas </c:v>
                </c:pt>
                <c:pt idx="10">
                  <c:v>Productos químicos de limpieza biodegradables</c:v>
                </c:pt>
                <c:pt idx="11">
                  <c:v>Innovación tecnológica</c:v>
                </c:pt>
                <c:pt idx="12">
                  <c:v>Talleres ambientales</c:v>
                </c:pt>
              </c:strCache>
            </c:strRef>
          </c:cat>
          <c:val>
            <c:numRef>
              <c:f>'GRAF HSE'!$E$266:$E$279</c:f>
              <c:numCache>
                <c:formatCode>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12-2C46-4269-8E02-249376D0AC03}"/>
            </c:ext>
          </c:extLst>
        </c:ser>
        <c:ser>
          <c:idx val="2"/>
          <c:order val="2"/>
          <c:tx>
            <c:strRef>
              <c:f>'GRAF HSE'!$F$265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3CEC-49D2-BB27-F1BA87687134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3CEC-49D2-BB27-F1BA876871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HSE'!$C$266:$C$279</c:f>
              <c:strCache>
                <c:ptCount val="13"/>
                <c:pt idx="0">
                  <c:v>Orden y limpieza</c:v>
                </c:pt>
                <c:pt idx="1">
                  <c:v>Formación y sensibilización ambiental</c:v>
                </c:pt>
                <c:pt idx="2">
                  <c:v>Consumo energético </c:v>
                </c:pt>
                <c:pt idx="3">
                  <c:v>Consumo agua</c:v>
                </c:pt>
                <c:pt idx="4">
                  <c:v>Reciclaje residuos</c:v>
                </c:pt>
                <c:pt idx="5">
                  <c:v>Cumplimiento al plan de monitoreo</c:v>
                </c:pt>
                <c:pt idx="6">
                  <c:v>Cumplimiento límites permisibles emisiones gaseosas</c:v>
                </c:pt>
                <c:pt idx="7">
                  <c:v>Cumplimiento límites permisibles monitoreo aguas</c:v>
                </c:pt>
                <c:pt idx="8">
                  <c:v>Cumplimiento al PMA</c:v>
                </c:pt>
                <c:pt idx="9">
                  <c:v>Cumplimiento acciones correctivas </c:v>
                </c:pt>
                <c:pt idx="10">
                  <c:v>Productos químicos de limpieza biodegradables</c:v>
                </c:pt>
                <c:pt idx="11">
                  <c:v>Innovación tecnológica</c:v>
                </c:pt>
                <c:pt idx="12">
                  <c:v>Talleres ambientales</c:v>
                </c:pt>
              </c:strCache>
            </c:strRef>
          </c:cat>
          <c:val>
            <c:numRef>
              <c:f>'GRAF HSE'!$F$266:$F$279</c:f>
              <c:numCache>
                <c:formatCode>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3CEC-49D2-BB27-F1BA87687134}"/>
            </c:ext>
          </c:extLst>
        </c:ser>
        <c:ser>
          <c:idx val="3"/>
          <c:order val="3"/>
          <c:tx>
            <c:strRef>
              <c:f>'GRAF HSE'!$G$265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HSE'!$C$266:$C$279</c:f>
              <c:strCache>
                <c:ptCount val="13"/>
                <c:pt idx="0">
                  <c:v>Orden y limpieza</c:v>
                </c:pt>
                <c:pt idx="1">
                  <c:v>Formación y sensibilización ambiental</c:v>
                </c:pt>
                <c:pt idx="2">
                  <c:v>Consumo energético </c:v>
                </c:pt>
                <c:pt idx="3">
                  <c:v>Consumo agua</c:v>
                </c:pt>
                <c:pt idx="4">
                  <c:v>Reciclaje residuos</c:v>
                </c:pt>
                <c:pt idx="5">
                  <c:v>Cumplimiento al plan de monitoreo</c:v>
                </c:pt>
                <c:pt idx="6">
                  <c:v>Cumplimiento límites permisibles emisiones gaseosas</c:v>
                </c:pt>
                <c:pt idx="7">
                  <c:v>Cumplimiento límites permisibles monitoreo aguas</c:v>
                </c:pt>
                <c:pt idx="8">
                  <c:v>Cumplimiento al PMA</c:v>
                </c:pt>
                <c:pt idx="9">
                  <c:v>Cumplimiento acciones correctivas </c:v>
                </c:pt>
                <c:pt idx="10">
                  <c:v>Productos químicos de limpieza biodegradables</c:v>
                </c:pt>
                <c:pt idx="11">
                  <c:v>Innovación tecnológica</c:v>
                </c:pt>
                <c:pt idx="12">
                  <c:v>Talleres ambientales</c:v>
                </c:pt>
              </c:strCache>
            </c:strRef>
          </c:cat>
          <c:val>
            <c:numRef>
              <c:f>'GRAF HSE'!$G$266:$G$279</c:f>
              <c:numCache>
                <c:formatCode>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13-52A0-4B45-A86A-A10019A3D6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1468607"/>
        <c:axId val="1661466943"/>
      </c:barChart>
      <c:catAx>
        <c:axId val="166146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1661466943"/>
        <c:crosses val="autoZero"/>
        <c:auto val="1"/>
        <c:lblAlgn val="ctr"/>
        <c:lblOffset val="100"/>
        <c:tickLblSkip val="1"/>
        <c:noMultiLvlLbl val="0"/>
      </c:catAx>
      <c:valAx>
        <c:axId val="166146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6146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547160191050363"/>
          <c:y val="0.10462683325714135"/>
          <c:w val="0.22703876637137174"/>
          <c:h val="5.6966407133969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5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HSE!TablaDinámica36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rgbClr val="FF0000"/>
                </a:solidFill>
              </a:rPr>
              <a:t>GESTION DE RELACIONES COMUNITARIAS - PROYECTO BLANCA VINITA</a:t>
            </a:r>
          </a:p>
          <a:p>
            <a:pPr>
              <a:defRPr>
                <a:solidFill>
                  <a:srgbClr val="FF0000"/>
                </a:solidFill>
              </a:defRPr>
            </a:pPr>
            <a:r>
              <a:rPr lang="es-EC">
                <a:solidFill>
                  <a:srgbClr val="FF0000"/>
                </a:solidFill>
              </a:rPr>
              <a:t>(Enero - Noviembre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644083158669905E-2"/>
          <c:y val="0.28640351000075648"/>
          <c:w val="0.91210695065994452"/>
          <c:h val="0.56272689598010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HSE'!$D$309</c:f>
              <c:strCache>
                <c:ptCount val="1"/>
                <c:pt idx="0">
                  <c:v>- BV ENE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HSE'!$D$310:$D$311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94-46D4-9F5B-F83CC9687DD0}"/>
            </c:ext>
          </c:extLst>
        </c:ser>
        <c:ser>
          <c:idx val="1"/>
          <c:order val="1"/>
          <c:tx>
            <c:strRef>
              <c:f>'GRAF HSE'!$E$309</c:f>
              <c:strCache>
                <c:ptCount val="1"/>
                <c:pt idx="0">
                  <c:v>- BV 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HSE'!$E$310:$E$311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94-46D4-9F5B-F83CC9687DD0}"/>
            </c:ext>
          </c:extLst>
        </c:ser>
        <c:ser>
          <c:idx val="2"/>
          <c:order val="2"/>
          <c:tx>
            <c:strRef>
              <c:f>'GRAF HSE'!$F$309</c:f>
              <c:strCache>
                <c:ptCount val="1"/>
                <c:pt idx="0">
                  <c:v>- BV 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HSE'!$F$310:$F$311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94-46D4-9F5B-F83CC9687DD0}"/>
            </c:ext>
          </c:extLst>
        </c:ser>
        <c:ser>
          <c:idx val="3"/>
          <c:order val="3"/>
          <c:tx>
            <c:strRef>
              <c:f>'GRAF HSE'!$G$309</c:f>
              <c:strCache>
                <c:ptCount val="1"/>
                <c:pt idx="0">
                  <c:v>- BV ABR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HSE'!$G$310:$G$311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94-46D4-9F5B-F83CC9687DD0}"/>
            </c:ext>
          </c:extLst>
        </c:ser>
        <c:ser>
          <c:idx val="4"/>
          <c:order val="4"/>
          <c:tx>
            <c:strRef>
              <c:f>'GRAF HSE'!$H$309</c:f>
              <c:strCache>
                <c:ptCount val="1"/>
                <c:pt idx="0">
                  <c:v>- BV MAY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HSE'!$H$310:$H$311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52-49F8-9AAC-B98FA9E6AECE}"/>
            </c:ext>
          </c:extLst>
        </c:ser>
        <c:ser>
          <c:idx val="5"/>
          <c:order val="5"/>
          <c:tx>
            <c:strRef>
              <c:f>'GRAF HSE'!$I$309</c:f>
              <c:strCache>
                <c:ptCount val="1"/>
                <c:pt idx="0">
                  <c:v>- BV JUN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HSE'!$I$310:$I$311</c:f>
              <c:numCache>
                <c:formatCode>0%</c:formatCode>
                <c:ptCount val="1"/>
                <c:pt idx="0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52-49F8-9AAC-B98FA9E6AECE}"/>
            </c:ext>
          </c:extLst>
        </c:ser>
        <c:ser>
          <c:idx val="6"/>
          <c:order val="6"/>
          <c:tx>
            <c:strRef>
              <c:f>'GRAF HSE'!$J$309</c:f>
              <c:strCache>
                <c:ptCount val="1"/>
                <c:pt idx="0">
                  <c:v>- BV JUL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HSE'!$J$310:$J$311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52-49F8-9AAC-B98FA9E6AECE}"/>
            </c:ext>
          </c:extLst>
        </c:ser>
        <c:ser>
          <c:idx val="7"/>
          <c:order val="7"/>
          <c:tx>
            <c:strRef>
              <c:f>'GRAF HSE'!$K$309</c:f>
              <c:strCache>
                <c:ptCount val="1"/>
                <c:pt idx="0">
                  <c:v>- BV AGO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HSE'!$K$310:$K$311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7-488C-8F03-CE5130EC6D75}"/>
            </c:ext>
          </c:extLst>
        </c:ser>
        <c:ser>
          <c:idx val="8"/>
          <c:order val="8"/>
          <c:tx>
            <c:strRef>
              <c:f>'GRAF HSE'!$L$309</c:f>
              <c:strCache>
                <c:ptCount val="1"/>
                <c:pt idx="0">
                  <c:v>- BV SEP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HSE'!$L$310:$L$311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7-440C-9680-B97AF8C164DF}"/>
            </c:ext>
          </c:extLst>
        </c:ser>
        <c:ser>
          <c:idx val="9"/>
          <c:order val="9"/>
          <c:tx>
            <c:strRef>
              <c:f>'GRAF HSE'!$M$309</c:f>
              <c:strCache>
                <c:ptCount val="1"/>
                <c:pt idx="0">
                  <c:v>- BV OCT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HSE'!$M$310:$M$311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E-44E2-AE05-CCD18EBAE2AC}"/>
            </c:ext>
          </c:extLst>
        </c:ser>
        <c:ser>
          <c:idx val="10"/>
          <c:order val="10"/>
          <c:tx>
            <c:strRef>
              <c:f>'GRAF HSE'!$N$309</c:f>
              <c:strCache>
                <c:ptCount val="1"/>
                <c:pt idx="0">
                  <c:v>- BV NOV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 HSE'!$C$310:$C$311</c:f>
              <c:strCache>
                <c:ptCount val="1"/>
                <c:pt idx="0">
                  <c:v>Índice de contratación de Mano de Obra Local (BV TBG)</c:v>
                </c:pt>
              </c:strCache>
            </c:strRef>
          </c:cat>
          <c:val>
            <c:numRef>
              <c:f>'GRAF HSE'!$N$310:$N$311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3-448F-BEA3-176B848D37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0791375"/>
        <c:axId val="130778895"/>
      </c:barChart>
      <c:catAx>
        <c:axId val="1307913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778895"/>
        <c:crosses val="autoZero"/>
        <c:auto val="1"/>
        <c:lblAlgn val="ctr"/>
        <c:lblOffset val="100"/>
        <c:noMultiLvlLbl val="0"/>
      </c:catAx>
      <c:valAx>
        <c:axId val="13077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079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90323430209766E-2"/>
          <c:y val="0.88260868053744934"/>
          <c:w val="0.61316177095016233"/>
          <c:h val="7.9017016767839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EF4EC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[F-HSE-78 MATRIZ INDIC HSE GRUPO EMPRESARIAL 2026 (Act. 01-10-2026).xlsx]GRAF HSE!TablaDinámica37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C" sz="16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EC" sz="16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GESTION QA/QC- PROYECTO BLANCA VINITA</a:t>
            </a:r>
          </a:p>
          <a:p>
            <a:pPr algn="ctr" rtl="0">
              <a:defRPr lang="es-EC" sz="1600" b="1">
                <a:solidFill>
                  <a:srgbClr val="FF0000"/>
                </a:solidFill>
              </a:defRPr>
            </a:pPr>
            <a:r>
              <a:rPr lang="es-EC" sz="16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(Enero - Junio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C" sz="16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6"/>
      </c:pivotFmt>
      <c:pivotFmt>
        <c:idx val="1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8"/>
      </c:pivotFmt>
      <c:pivotFmt>
        <c:idx val="19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>
              <a:tint val="41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9245936625858463E-3"/>
              <c:y val="-2.279201870165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>
              <a:tint val="74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01424411436496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927141430838782E-2"/>
          <c:y val="0.25697423744362052"/>
          <c:w val="0.87002974501002517"/>
          <c:h val="0.44062176693932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HSE'!$D$332</c:f>
              <c:strCache>
                <c:ptCount val="1"/>
                <c:pt idx="0">
                  <c:v>- BV ENE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9B6-4C3A-8B4B-05C19B7CB90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39B6-4C3A-8B4B-05C19B7CB90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39B6-4C3A-8B4B-05C19B7CB90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39B6-4C3A-8B4B-05C19B7CB90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39B6-4C3A-8B4B-05C19B7CB9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HSE'!$C$333:$C$338</c:f>
              <c:strCache>
                <c:ptCount val="5"/>
                <c:pt idx="0">
                  <c:v>Índice de dossiers de calidad Equipos de Superficie</c:v>
                </c:pt>
                <c:pt idx="1">
                  <c:v>Índice de dossiers de calidad PRF &amp; CPI</c:v>
                </c:pt>
                <c:pt idx="2">
                  <c:v>Índice de eficiencia en liberaciones</c:v>
                </c:pt>
                <c:pt idx="3">
                  <c:v>Índice de gestión de cierre de ítems B</c:v>
                </c:pt>
                <c:pt idx="4">
                  <c:v>Índice de PNCs levantados por el total de las desviaciones observadas en las operaciones de BV</c:v>
                </c:pt>
              </c:strCache>
            </c:strRef>
          </c:cat>
          <c:val>
            <c:numRef>
              <c:f>'GRAF HSE'!$D$333:$D$338</c:f>
              <c:numCache>
                <c:formatCode>0%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6-4C3A-8B4B-05C19B7CB901}"/>
            </c:ext>
          </c:extLst>
        </c:ser>
        <c:ser>
          <c:idx val="1"/>
          <c:order val="1"/>
          <c:tx>
            <c:strRef>
              <c:f>'GRAF HSE'!$E$332</c:f>
              <c:strCache>
                <c:ptCount val="1"/>
                <c:pt idx="0">
                  <c:v>- BV FEB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HSE'!$C$333:$C$338</c:f>
              <c:strCache>
                <c:ptCount val="5"/>
                <c:pt idx="0">
                  <c:v>Índice de dossiers de calidad Equipos de Superficie</c:v>
                </c:pt>
                <c:pt idx="1">
                  <c:v>Índice de dossiers de calidad PRF &amp; CPI</c:v>
                </c:pt>
                <c:pt idx="2">
                  <c:v>Índice de eficiencia en liberaciones</c:v>
                </c:pt>
                <c:pt idx="3">
                  <c:v>Índice de gestión de cierre de ítems B</c:v>
                </c:pt>
                <c:pt idx="4">
                  <c:v>Índice de PNCs levantados por el total de las desviaciones observadas en las operaciones de BV</c:v>
                </c:pt>
              </c:strCache>
            </c:strRef>
          </c:cat>
          <c:val>
            <c:numRef>
              <c:f>'GRAF HSE'!$E$333:$E$338</c:f>
              <c:numCache>
                <c:formatCode>0%</c:formatCode>
                <c:ptCount val="5"/>
                <c:pt idx="0">
                  <c:v>0.75</c:v>
                </c:pt>
                <c:pt idx="1">
                  <c:v>0.75</c:v>
                </c:pt>
                <c:pt idx="2">
                  <c:v>1</c:v>
                </c:pt>
                <c:pt idx="3">
                  <c:v>0.52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DB-4EB2-BC0C-757B9ACA2059}"/>
            </c:ext>
          </c:extLst>
        </c:ser>
        <c:ser>
          <c:idx val="2"/>
          <c:order val="2"/>
          <c:tx>
            <c:strRef>
              <c:f>'GRAF HSE'!$F$332</c:f>
              <c:strCache>
                <c:ptCount val="1"/>
                <c:pt idx="0">
                  <c:v>- BV MAR</c:v>
                </c:pt>
              </c:strCache>
            </c:strRef>
          </c:tx>
          <c:spPr>
            <a:solidFill>
              <a:schemeClr val="accent5">
                <a:shade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HSE'!$C$333:$C$338</c:f>
              <c:strCache>
                <c:ptCount val="5"/>
                <c:pt idx="0">
                  <c:v>Índice de dossiers de calidad Equipos de Superficie</c:v>
                </c:pt>
                <c:pt idx="1">
                  <c:v>Índice de dossiers de calidad PRF &amp; CPI</c:v>
                </c:pt>
                <c:pt idx="2">
                  <c:v>Índice de eficiencia en liberaciones</c:v>
                </c:pt>
                <c:pt idx="3">
                  <c:v>Índice de gestión de cierre de ítems B</c:v>
                </c:pt>
                <c:pt idx="4">
                  <c:v>Índice de PNCs levantados por el total de las desviaciones observadas en las operaciones de BV</c:v>
                </c:pt>
              </c:strCache>
            </c:strRef>
          </c:cat>
          <c:val>
            <c:numRef>
              <c:f>'GRAF HSE'!$F$333:$F$338</c:f>
              <c:numCache>
                <c:formatCode>0%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1</c:v>
                </c:pt>
                <c:pt idx="3">
                  <c:v>0.84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05-4963-A6A7-E1D37B1BDB52}"/>
            </c:ext>
          </c:extLst>
        </c:ser>
        <c:ser>
          <c:idx val="3"/>
          <c:order val="3"/>
          <c:tx>
            <c:strRef>
              <c:f>'GRAF HSE'!$G$332</c:f>
              <c:strCache>
                <c:ptCount val="1"/>
                <c:pt idx="0">
                  <c:v>- BV ABR</c:v>
                </c:pt>
              </c:strCache>
            </c:strRef>
          </c:tx>
          <c:spPr>
            <a:solidFill>
              <a:schemeClr val="accent5">
                <a:tint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HSE'!$C$333:$C$338</c:f>
              <c:strCache>
                <c:ptCount val="5"/>
                <c:pt idx="0">
                  <c:v>Índice de dossiers de calidad Equipos de Superficie</c:v>
                </c:pt>
                <c:pt idx="1">
                  <c:v>Índice de dossiers de calidad PRF &amp; CPI</c:v>
                </c:pt>
                <c:pt idx="2">
                  <c:v>Índice de eficiencia en liberaciones</c:v>
                </c:pt>
                <c:pt idx="3">
                  <c:v>Índice de gestión de cierre de ítems B</c:v>
                </c:pt>
                <c:pt idx="4">
                  <c:v>Índice de PNCs levantados por el total de las desviaciones observadas en las operaciones de BV</c:v>
                </c:pt>
              </c:strCache>
            </c:strRef>
          </c:cat>
          <c:val>
            <c:numRef>
              <c:f>'GRAF HSE'!$G$333:$G$338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49-4E8B-AA85-43E2C18F1B2C}"/>
            </c:ext>
          </c:extLst>
        </c:ser>
        <c:ser>
          <c:idx val="4"/>
          <c:order val="4"/>
          <c:tx>
            <c:strRef>
              <c:f>'GRAF HSE'!$H$332</c:f>
              <c:strCache>
                <c:ptCount val="1"/>
                <c:pt idx="0">
                  <c:v>- BV MAY</c:v>
                </c:pt>
              </c:strCache>
            </c:strRef>
          </c:tx>
          <c:spPr>
            <a:solidFill>
              <a:schemeClr val="accent5">
                <a:tint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HSE'!$C$333:$C$338</c:f>
              <c:strCache>
                <c:ptCount val="5"/>
                <c:pt idx="0">
                  <c:v>Índice de dossiers de calidad Equipos de Superficie</c:v>
                </c:pt>
                <c:pt idx="1">
                  <c:v>Índice de dossiers de calidad PRF &amp; CPI</c:v>
                </c:pt>
                <c:pt idx="2">
                  <c:v>Índice de eficiencia en liberaciones</c:v>
                </c:pt>
                <c:pt idx="3">
                  <c:v>Índice de gestión de cierre de ítems B</c:v>
                </c:pt>
                <c:pt idx="4">
                  <c:v>Índice de PNCs levantados por el total de las desviaciones observadas en las operaciones de BV</c:v>
                </c:pt>
              </c:strCache>
            </c:strRef>
          </c:cat>
          <c:val>
            <c:numRef>
              <c:f>'GRAF HSE'!$H$333:$H$338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7B-41BB-AC29-973428564E97}"/>
            </c:ext>
          </c:extLst>
        </c:ser>
        <c:ser>
          <c:idx val="5"/>
          <c:order val="5"/>
          <c:tx>
            <c:strRef>
              <c:f>'GRAF HSE'!$I$332</c:f>
              <c:strCache>
                <c:ptCount val="1"/>
                <c:pt idx="0">
                  <c:v>- BV JUN</c:v>
                </c:pt>
              </c:strCache>
            </c:strRef>
          </c:tx>
          <c:spPr>
            <a:solidFill>
              <a:schemeClr val="accent5">
                <a:tint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HSE'!$C$333:$C$338</c:f>
              <c:strCache>
                <c:ptCount val="5"/>
                <c:pt idx="0">
                  <c:v>Índice de dossiers de calidad Equipos de Superficie</c:v>
                </c:pt>
                <c:pt idx="1">
                  <c:v>Índice de dossiers de calidad PRF &amp; CPI</c:v>
                </c:pt>
                <c:pt idx="2">
                  <c:v>Índice de eficiencia en liberaciones</c:v>
                </c:pt>
                <c:pt idx="3">
                  <c:v>Índice de gestión de cierre de ítems B</c:v>
                </c:pt>
                <c:pt idx="4">
                  <c:v>Índice de PNCs levantados por el total de las desviaciones observadas en las operaciones de BV</c:v>
                </c:pt>
              </c:strCache>
            </c:strRef>
          </c:cat>
          <c:val>
            <c:numRef>
              <c:f>'GRAF HSE'!$I$333:$I$338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7B-41BB-AC29-973428564E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785471"/>
        <c:axId val="1992797119"/>
      </c:barChart>
      <c:catAx>
        <c:axId val="1992785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797119"/>
        <c:crosses val="autoZero"/>
        <c:auto val="1"/>
        <c:lblAlgn val="ctr"/>
        <c:lblOffset val="100"/>
        <c:noMultiLvlLbl val="0"/>
      </c:catAx>
      <c:valAx>
        <c:axId val="199279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78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HSE!TablaDinámica38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EC" sz="12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GESTIÓN DE QA/QC TRIBOILGAS BASE COCA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2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(Enero - Junio 2024)</a:t>
            </a:r>
          </a:p>
        </c:rich>
      </c:tx>
      <c:layout>
        <c:manualLayout>
          <c:xMode val="edge"/>
          <c:yMode val="edge"/>
          <c:x val="0.33314918029460194"/>
          <c:y val="4.5417195869153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EC" sz="12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648749824055972E-2"/>
          <c:y val="0.23569166344397008"/>
          <c:w val="0.92360644838625627"/>
          <c:h val="0.662294401911098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HSE'!$D$357</c:f>
              <c:strCache>
                <c:ptCount val="1"/>
                <c:pt idx="0">
                  <c:v>- TBG 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A01-4599-AD24-D522E5A9C36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A01-4599-AD24-D522E5A9C3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HSE'!$C$358:$C$360</c:f>
              <c:strCache>
                <c:ptCount val="2"/>
                <c:pt idx="0">
                  <c:v>Cantidad de Inspecciones vencidas de sartas drill pipe de Rigs </c:v>
                </c:pt>
                <c:pt idx="1">
                  <c:v>Porcentaje de Inspecciones vencidas de herramientas/equipos de los Rigs</c:v>
                </c:pt>
              </c:strCache>
            </c:strRef>
          </c:cat>
          <c:val>
            <c:numRef>
              <c:f>'GRAF HSE'!$D$358:$D$360</c:f>
              <c:numCache>
                <c:formatCode>0%</c:formatCode>
                <c:ptCount val="2"/>
                <c:pt idx="0">
                  <c:v>0</c:v>
                </c:pt>
                <c:pt idx="1">
                  <c:v>9.5799999999999996E-2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1-4599-AD24-D522E5A9C367}"/>
            </c:ext>
          </c:extLst>
        </c:ser>
        <c:ser>
          <c:idx val="1"/>
          <c:order val="1"/>
          <c:tx>
            <c:strRef>
              <c:f>'GRAF HSE'!$E$357</c:f>
              <c:strCache>
                <c:ptCount val="1"/>
                <c:pt idx="0">
                  <c:v>-TBG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HSE'!$C$358:$C$360</c:f>
              <c:strCache>
                <c:ptCount val="2"/>
                <c:pt idx="0">
                  <c:v>Cantidad de Inspecciones vencidas de sartas drill pipe de Rigs </c:v>
                </c:pt>
                <c:pt idx="1">
                  <c:v>Porcentaje de Inspecciones vencidas de herramientas/equipos de los Rigs</c:v>
                </c:pt>
              </c:strCache>
            </c:strRef>
          </c:cat>
          <c:val>
            <c:numRef>
              <c:f>'GRAF HSE'!$E$358:$E$360</c:f>
              <c:numCache>
                <c:formatCode>0%</c:formatCode>
                <c:ptCount val="2"/>
                <c:pt idx="0">
                  <c:v>0.1429</c:v>
                </c:pt>
                <c:pt idx="1">
                  <c:v>0.13739999999999999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C9-4B11-A048-A1F26E13D72A}"/>
            </c:ext>
          </c:extLst>
        </c:ser>
        <c:ser>
          <c:idx val="2"/>
          <c:order val="2"/>
          <c:tx>
            <c:strRef>
              <c:f>'GRAF HSE'!$F$357</c:f>
              <c:strCache>
                <c:ptCount val="1"/>
                <c:pt idx="0">
                  <c:v>-TBG 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HSE'!$C$358:$C$360</c:f>
              <c:strCache>
                <c:ptCount val="2"/>
                <c:pt idx="0">
                  <c:v>Cantidad de Inspecciones vencidas de sartas drill pipe de Rigs </c:v>
                </c:pt>
                <c:pt idx="1">
                  <c:v>Porcentaje de Inspecciones vencidas de herramientas/equipos de los Rigs</c:v>
                </c:pt>
              </c:strCache>
            </c:strRef>
          </c:cat>
          <c:val>
            <c:numRef>
              <c:f>'GRAF HSE'!$F$358:$F$360</c:f>
              <c:numCache>
                <c:formatCode>0%</c:formatCode>
                <c:ptCount val="2"/>
                <c:pt idx="0">
                  <c:v>0.28570000000000001</c:v>
                </c:pt>
                <c:pt idx="1">
                  <c:v>0.1101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C9-4B11-A048-A1F26E13D72A}"/>
            </c:ext>
          </c:extLst>
        </c:ser>
        <c:ser>
          <c:idx val="3"/>
          <c:order val="3"/>
          <c:tx>
            <c:strRef>
              <c:f>'GRAF HSE'!$G$357</c:f>
              <c:strCache>
                <c:ptCount val="1"/>
                <c:pt idx="0">
                  <c:v>-TBG 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HSE'!$C$358:$C$360</c:f>
              <c:strCache>
                <c:ptCount val="2"/>
                <c:pt idx="0">
                  <c:v>Cantidad de Inspecciones vencidas de sartas drill pipe de Rigs </c:v>
                </c:pt>
                <c:pt idx="1">
                  <c:v>Porcentaje de Inspecciones vencidas de herramientas/equipos de los Rigs</c:v>
                </c:pt>
              </c:strCache>
            </c:strRef>
          </c:cat>
          <c:val>
            <c:numRef>
              <c:f>'GRAF HSE'!$G$358:$G$360</c:f>
              <c:numCache>
                <c:formatCode>0%</c:formatCode>
                <c:ptCount val="2"/>
                <c:pt idx="0">
                  <c:v>0.25</c:v>
                </c:pt>
                <c:pt idx="1">
                  <c:v>0.1191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C9-4B11-A048-A1F26E13D72A}"/>
            </c:ext>
          </c:extLst>
        </c:ser>
        <c:ser>
          <c:idx val="4"/>
          <c:order val="4"/>
          <c:tx>
            <c:strRef>
              <c:f>'GRAF HSE'!$H$357</c:f>
              <c:strCache>
                <c:ptCount val="1"/>
                <c:pt idx="0">
                  <c:v>- TBG 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HSE'!$C$358:$C$360</c:f>
              <c:strCache>
                <c:ptCount val="2"/>
                <c:pt idx="0">
                  <c:v>Cantidad de Inspecciones vencidas de sartas drill pipe de Rigs </c:v>
                </c:pt>
                <c:pt idx="1">
                  <c:v>Porcentaje de Inspecciones vencidas de herramientas/equipos de los Rigs</c:v>
                </c:pt>
              </c:strCache>
            </c:strRef>
          </c:cat>
          <c:val>
            <c:numRef>
              <c:f>'GRAF HSE'!$H$358:$H$360</c:f>
              <c:numCache>
                <c:formatCode>0%</c:formatCode>
                <c:ptCount val="2"/>
                <c:pt idx="0">
                  <c:v>0.125</c:v>
                </c:pt>
                <c:pt idx="1">
                  <c:v>0.1426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8-4F16-AD6A-00213446DCE9}"/>
            </c:ext>
          </c:extLst>
        </c:ser>
        <c:ser>
          <c:idx val="5"/>
          <c:order val="5"/>
          <c:tx>
            <c:strRef>
              <c:f>'GRAF HSE'!$I$357</c:f>
              <c:strCache>
                <c:ptCount val="1"/>
                <c:pt idx="0">
                  <c:v>- TBG 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HSE'!$C$358:$C$360</c:f>
              <c:strCache>
                <c:ptCount val="2"/>
                <c:pt idx="0">
                  <c:v>Cantidad de Inspecciones vencidas de sartas drill pipe de Rigs </c:v>
                </c:pt>
                <c:pt idx="1">
                  <c:v>Porcentaje de Inspecciones vencidas de herramientas/equipos de los Rigs</c:v>
                </c:pt>
              </c:strCache>
            </c:strRef>
          </c:cat>
          <c:val>
            <c:numRef>
              <c:f>'GRAF HSE'!$I$358:$I$360</c:f>
              <c:numCache>
                <c:formatCode>0%</c:formatCode>
                <c:ptCount val="2"/>
                <c:pt idx="0">
                  <c:v>0.125</c:v>
                </c:pt>
                <c:pt idx="1">
                  <c:v>0.1017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8-4F16-AD6A-00213446DC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835183"/>
        <c:axId val="146829775"/>
      </c:barChart>
      <c:catAx>
        <c:axId val="14683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146829775"/>
        <c:crosses val="autoZero"/>
        <c:auto val="1"/>
        <c:lblAlgn val="ctr"/>
        <c:lblOffset val="100"/>
        <c:noMultiLvlLbl val="0"/>
      </c:catAx>
      <c:valAx>
        <c:axId val="1468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683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EC" sz="12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ÍNDICE DE SINIESTRALIDAD (Índice de Gravedad y Tasa de Riesgo)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2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COMPARATIVO DE EMPRESAS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050" b="1" i="0" baseline="0">
                <a:effectLst/>
              </a:rPr>
              <a:t>(NOVIEMBRE 2024)</a:t>
            </a:r>
            <a:endParaRPr lang="es-EC" sz="8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endParaRPr lang="es-EC" sz="12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endParaRPr lang="es-EC" sz="12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6545298475786339"/>
          <c:y val="3.994122036153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EC" sz="12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F4F4F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FF4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51149969065919E-2"/>
          <c:y val="0.28520793582972809"/>
          <c:w val="0.86659336351354621"/>
          <c:h val="0.60764064838464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HSE'!$D$140</c:f>
              <c:strCache>
                <c:ptCount val="1"/>
                <c:pt idx="0">
                  <c:v>- TBG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HSE'!$C$141:$C$143</c:f>
              <c:strCache>
                <c:ptCount val="2"/>
                <c:pt idx="0">
                  <c:v>Índice de gravedad</c:v>
                </c:pt>
                <c:pt idx="1">
                  <c:v>Tasa de riesgo</c:v>
                </c:pt>
              </c:strCache>
            </c:strRef>
          </c:cat>
          <c:val>
            <c:numRef>
              <c:f>'GRAF HSE'!$D$141:$D$143</c:f>
              <c:numCache>
                <c:formatCode>0.00</c:formatCode>
                <c:ptCount val="2"/>
                <c:pt idx="0">
                  <c:v>7.79</c:v>
                </c:pt>
                <c:pt idx="1">
                  <c:v>16.75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F-4102-A292-A1FB59FFB16A}"/>
            </c:ext>
          </c:extLst>
        </c:ser>
        <c:ser>
          <c:idx val="1"/>
          <c:order val="1"/>
          <c:tx>
            <c:strRef>
              <c:f>'GRAF HSE'!$E$140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HSE'!$C$141:$C$143</c:f>
              <c:strCache>
                <c:ptCount val="2"/>
                <c:pt idx="0">
                  <c:v>Índice de gravedad</c:v>
                </c:pt>
                <c:pt idx="1">
                  <c:v>Tasa de riesgo</c:v>
                </c:pt>
              </c:strCache>
            </c:strRef>
          </c:cat>
          <c:val>
            <c:numRef>
              <c:f>'GRAF HSE'!$E$141:$E$143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F-4102-A292-A1FB59FFB16A}"/>
            </c:ext>
          </c:extLst>
        </c:ser>
        <c:ser>
          <c:idx val="2"/>
          <c:order val="2"/>
          <c:tx>
            <c:strRef>
              <c:f>'GRAF HSE'!$F$140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HSE'!$C$141:$C$143</c:f>
              <c:strCache>
                <c:ptCount val="2"/>
                <c:pt idx="0">
                  <c:v>Índice de gravedad</c:v>
                </c:pt>
                <c:pt idx="1">
                  <c:v>Tasa de riesgo</c:v>
                </c:pt>
              </c:strCache>
            </c:strRef>
          </c:cat>
          <c:val>
            <c:numRef>
              <c:f>'GRAF HSE'!$F$141:$F$143</c:f>
              <c:numCache>
                <c:formatCode>0.00</c:formatCode>
                <c:ptCount val="2"/>
                <c:pt idx="0">
                  <c:v>126.21</c:v>
                </c:pt>
                <c:pt idx="1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5F-4102-A292-A1FB59FFB16A}"/>
            </c:ext>
          </c:extLst>
        </c:ser>
        <c:ser>
          <c:idx val="3"/>
          <c:order val="3"/>
          <c:tx>
            <c:strRef>
              <c:f>'GRAF HSE'!$G$140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HSE'!$C$141:$C$143</c:f>
              <c:strCache>
                <c:ptCount val="2"/>
                <c:pt idx="0">
                  <c:v>Índice de gravedad</c:v>
                </c:pt>
                <c:pt idx="1">
                  <c:v>Tasa de riesgo</c:v>
                </c:pt>
              </c:strCache>
            </c:strRef>
          </c:cat>
          <c:val>
            <c:numRef>
              <c:f>'GRAF HSE'!$G$141:$G$143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5F-4102-A292-A1FB59FFB1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746783"/>
        <c:axId val="1992725983"/>
      </c:barChart>
      <c:catAx>
        <c:axId val="1992746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2725983"/>
        <c:crosses val="autoZero"/>
        <c:auto val="1"/>
        <c:lblAlgn val="ctr"/>
        <c:lblOffset val="100"/>
        <c:noMultiLvlLbl val="0"/>
      </c:catAx>
      <c:valAx>
        <c:axId val="199272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74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303402890054674"/>
          <c:y val="0.92092548058661972"/>
          <c:w val="0.25063832468289216"/>
          <c:h val="7.9074954962249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[F-HSE-78 MATRIZ INDIC HSE GRUPO EMPRESARIAL 2026 (Act. 01-10-2026).xlsx]GRAF HSE!TablaDinámica8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ÍNDICE DE INCIDENTES VEHICULARES (Motor Vehicle Crash)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400" b="1" i="0" u="none" strike="noStrike" kern="1200" spc="0" baseline="0">
                <a:solidFill>
                  <a:srgbClr val="FF0000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COMPARATIVO DE EMPRESAS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r>
              <a:rPr lang="es-EC" sz="1100" b="1" i="0" baseline="0">
                <a:effectLst/>
              </a:rPr>
              <a:t>(NOVIEMBRE 2024)</a:t>
            </a:r>
            <a:endParaRPr lang="es-EC" sz="14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C" sz="1200" b="1">
                <a:solidFill>
                  <a:srgbClr val="FF0000"/>
                </a:solidFill>
                <a:effectLst/>
                <a:latin typeface="Century Gothic" panose="020B0502020202020204" pitchFamily="34" charset="0"/>
              </a:defRPr>
            </a:pPr>
            <a:endParaRPr lang="es-EC" sz="12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6545298475786339"/>
          <c:y val="3.994122036153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EC" sz="1200" b="1" i="0" u="none" strike="noStrike" kern="1200" spc="0" baseline="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F4F4F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FF4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51149969065919E-2"/>
          <c:y val="0.28520793582972809"/>
          <c:w val="0.86659336351354621"/>
          <c:h val="0.60764064838464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HSE'!$D$152</c:f>
              <c:strCache>
                <c:ptCount val="1"/>
                <c:pt idx="0">
                  <c:v>- TBG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HSE'!$C$153:$C$154</c:f>
              <c:strCache>
                <c:ptCount val="1"/>
                <c:pt idx="0">
                  <c:v> Índice de incidentes vehiculares
(Motor vehicle crash)</c:v>
                </c:pt>
              </c:strCache>
            </c:strRef>
          </c:cat>
          <c:val>
            <c:numRef>
              <c:f>'GRAF HSE'!$D$153:$D$154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B-475D-94A8-A3D0D20F35D7}"/>
            </c:ext>
          </c:extLst>
        </c:ser>
        <c:ser>
          <c:idx val="1"/>
          <c:order val="1"/>
          <c:tx>
            <c:strRef>
              <c:f>'GRAF HSE'!$E$152</c:f>
              <c:strCache>
                <c:ptCount val="1"/>
                <c:pt idx="0">
                  <c:v>- CNX 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HSE'!$C$153:$C$154</c:f>
              <c:strCache>
                <c:ptCount val="1"/>
                <c:pt idx="0">
                  <c:v> Índice de incidentes vehiculares
(Motor vehicle crash)</c:v>
                </c:pt>
              </c:strCache>
            </c:strRef>
          </c:cat>
          <c:val>
            <c:numRef>
              <c:f>'GRAF HSE'!$E$153:$E$154</c:f>
              <c:numCache>
                <c:formatCode>General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5B-475D-94A8-A3D0D20F35D7}"/>
            </c:ext>
          </c:extLst>
        </c:ser>
        <c:ser>
          <c:idx val="2"/>
          <c:order val="2"/>
          <c:tx>
            <c:strRef>
              <c:f>'GRAF HSE'!$F$152</c:f>
              <c:strCache>
                <c:ptCount val="1"/>
                <c:pt idx="0">
                  <c:v>- BV 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HSE'!$C$153:$C$154</c:f>
              <c:strCache>
                <c:ptCount val="1"/>
                <c:pt idx="0">
                  <c:v> Índice de incidentes vehiculares
(Motor vehicle crash)</c:v>
                </c:pt>
              </c:strCache>
            </c:strRef>
          </c:cat>
          <c:val>
            <c:numRef>
              <c:f>'GRAF HSE'!$F$153:$F$154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5B-475D-94A8-A3D0D20F35D7}"/>
            </c:ext>
          </c:extLst>
        </c:ser>
        <c:ser>
          <c:idx val="3"/>
          <c:order val="3"/>
          <c:tx>
            <c:strRef>
              <c:f>'GRAF HSE'!$G$152</c:f>
              <c:strCache>
                <c:ptCount val="1"/>
                <c:pt idx="0">
                  <c:v>- CSH 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HSE'!$C$153:$C$154</c:f>
              <c:strCache>
                <c:ptCount val="1"/>
                <c:pt idx="0">
                  <c:v> Índice de incidentes vehiculares
(Motor vehicle crash)</c:v>
                </c:pt>
              </c:strCache>
            </c:strRef>
          </c:cat>
          <c:val>
            <c:numRef>
              <c:f>'GRAF HSE'!$G$153:$G$154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5B-475D-94A8-A3D0D20F35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746783"/>
        <c:axId val="1992725983"/>
      </c:barChart>
      <c:catAx>
        <c:axId val="1992746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2725983"/>
        <c:crosses val="autoZero"/>
        <c:auto val="1"/>
        <c:lblAlgn val="ctr"/>
        <c:lblOffset val="100"/>
        <c:noMultiLvlLbl val="0"/>
      </c:catAx>
      <c:valAx>
        <c:axId val="199272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274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303402890054674"/>
          <c:y val="0.92092548058661972"/>
          <c:w val="0.25130147015374371"/>
          <c:h val="7.322074946587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2.emf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168088</xdr:colOff>
      <xdr:row>1</xdr:row>
      <xdr:rowOff>179294</xdr:rowOff>
    </xdr:from>
    <xdr:to>
      <xdr:col>3</xdr:col>
      <xdr:colOff>1834032</xdr:colOff>
      <xdr:row>2</xdr:row>
      <xdr:rowOff>268942</xdr:rowOff>
    </xdr:to>
    <xdr:pic>
      <xdr:nvPicPr>
        <xdr:cNvPr id="2" name="Imagen 1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3B452CCE-8834-4096-9140-80BB26DCF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88" y="179294"/>
          <a:ext cx="3151843" cy="623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168088</xdr:colOff>
      <xdr:row>0</xdr:row>
      <xdr:rowOff>179294</xdr:rowOff>
    </xdr:from>
    <xdr:to>
      <xdr:col>2</xdr:col>
      <xdr:colOff>1834031</xdr:colOff>
      <xdr:row>1</xdr:row>
      <xdr:rowOff>268942</xdr:rowOff>
    </xdr:to>
    <xdr:pic>
      <xdr:nvPicPr>
        <xdr:cNvPr id="2" name="Imagen 1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41D63B71-9172-A86F-99CB-0EB9E8161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88" y="179294"/>
          <a:ext cx="3156325" cy="627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1005417</xdr:colOff>
      <xdr:row>64</xdr:row>
      <xdr:rowOff>105247</xdr:rowOff>
    </xdr:from>
    <xdr:to>
      <xdr:col>11</xdr:col>
      <xdr:colOff>52916</xdr:colOff>
      <xdr:row>79</xdr:row>
      <xdr:rowOff>56030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499936E-DF8C-DC9F-6396-8D980D49E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973667</xdr:colOff>
      <xdr:row>83</xdr:row>
      <xdr:rowOff>100854</xdr:rowOff>
    </xdr:from>
    <xdr:to>
      <xdr:col>11</xdr:col>
      <xdr:colOff>95250</xdr:colOff>
      <xdr:row>100</xdr:row>
      <xdr:rowOff>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3AD0DE77-A9F2-824A-F124-BF95B9DEF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931333</xdr:colOff>
      <xdr:row>104</xdr:row>
      <xdr:rowOff>137054</xdr:rowOff>
    </xdr:from>
    <xdr:to>
      <xdr:col>11</xdr:col>
      <xdr:colOff>137584</xdr:colOff>
      <xdr:row>117</xdr:row>
      <xdr:rowOff>313232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69D1C54F-A5A5-B923-44D0-332D5BA4B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867832</xdr:colOff>
      <xdr:row>121</xdr:row>
      <xdr:rowOff>118908</xdr:rowOff>
    </xdr:from>
    <xdr:to>
      <xdr:col>11</xdr:col>
      <xdr:colOff>169334</xdr:colOff>
      <xdr:row>138</xdr:row>
      <xdr:rowOff>201706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CC3E433E-5500-09A5-9308-6E6A41213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1042147</xdr:colOff>
      <xdr:row>42</xdr:row>
      <xdr:rowOff>138576</xdr:rowOff>
    </xdr:from>
    <xdr:to>
      <xdr:col>11</xdr:col>
      <xdr:colOff>44823</xdr:colOff>
      <xdr:row>60</xdr:row>
      <xdr:rowOff>45357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FDCCF6EE-5FD9-4903-B529-CBDE23AB4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9337</xdr:colOff>
      <xdr:row>14</xdr:row>
      <xdr:rowOff>27271</xdr:rowOff>
    </xdr:from>
    <xdr:to>
      <xdr:col>13</xdr:col>
      <xdr:colOff>619124</xdr:colOff>
      <xdr:row>37</xdr:row>
      <xdr:rowOff>67236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53DC3C00-C2EF-251A-D0BE-9030C88EF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7095</xdr:colOff>
      <xdr:row>176</xdr:row>
      <xdr:rowOff>82736</xdr:rowOff>
    </xdr:from>
    <xdr:to>
      <xdr:col>12</xdr:col>
      <xdr:colOff>373592</xdr:colOff>
      <xdr:row>190</xdr:row>
      <xdr:rowOff>72571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D5100925-7A83-A761-57B9-C95017764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227798</xdr:colOff>
      <xdr:row>199</xdr:row>
      <xdr:rowOff>90720</xdr:rowOff>
    </xdr:from>
    <xdr:to>
      <xdr:col>14</xdr:col>
      <xdr:colOff>73638</xdr:colOff>
      <xdr:row>218</xdr:row>
      <xdr:rowOff>91954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F8417499-6C8E-4910-1064-B22AC3967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217533</xdr:colOff>
      <xdr:row>222</xdr:row>
      <xdr:rowOff>61525</xdr:rowOff>
    </xdr:from>
    <xdr:to>
      <xdr:col>13</xdr:col>
      <xdr:colOff>669132</xdr:colOff>
      <xdr:row>238</xdr:row>
      <xdr:rowOff>151180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B8FD7E1-E5E0-598D-92EE-813EC8618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240655</xdr:colOff>
      <xdr:row>243</xdr:row>
      <xdr:rowOff>50350</xdr:rowOff>
    </xdr:from>
    <xdr:to>
      <xdr:col>14</xdr:col>
      <xdr:colOff>44878</xdr:colOff>
      <xdr:row>263</xdr:row>
      <xdr:rowOff>98428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CEAA932-0DE1-4D74-87FB-4695E487B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230506</xdr:colOff>
      <xdr:row>281</xdr:row>
      <xdr:rowOff>84446</xdr:rowOff>
    </xdr:from>
    <xdr:to>
      <xdr:col>15</xdr:col>
      <xdr:colOff>27214</xdr:colOff>
      <xdr:row>306</xdr:row>
      <xdr:rowOff>90714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076BF5B-22AA-7577-88E0-E67A3C957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0</xdr:colOff>
      <xdr:row>312</xdr:row>
      <xdr:rowOff>120650</xdr:rowOff>
    </xdr:from>
    <xdr:to>
      <xdr:col>14</xdr:col>
      <xdr:colOff>8031</xdr:colOff>
      <xdr:row>329</xdr:row>
      <xdr:rowOff>394607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5A53ED1-FEC9-6709-45F6-ADEDC0496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224955</xdr:colOff>
      <xdr:row>338</xdr:row>
      <xdr:rowOff>70036</xdr:rowOff>
    </xdr:from>
    <xdr:to>
      <xdr:col>14</xdr:col>
      <xdr:colOff>504265</xdr:colOff>
      <xdr:row>355</xdr:row>
      <xdr:rowOff>22411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1001EF3-3159-F204-F96E-2E9FDB837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5600</xdr:colOff>
      <xdr:row>360</xdr:row>
      <xdr:rowOff>51548</xdr:rowOff>
    </xdr:from>
    <xdr:to>
      <xdr:col>14</xdr:col>
      <xdr:colOff>627529</xdr:colOff>
      <xdr:row>381</xdr:row>
      <xdr:rowOff>156882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CF5B89E-9E87-CFC0-30C5-A26377023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1936750</xdr:colOff>
      <xdr:row>130</xdr:row>
      <xdr:rowOff>10583</xdr:rowOff>
    </xdr:from>
    <xdr:to>
      <xdr:col>7</xdr:col>
      <xdr:colOff>705970</xdr:colOff>
      <xdr:row>132</xdr:row>
      <xdr:rowOff>78442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5CC1F584-43A6-4EFD-A856-8A362D3F4778}"/>
            </a:ext>
          </a:extLst>
        </xdr:cNvPr>
        <xdr:cNvSpPr txBox="1"/>
      </xdr:nvSpPr>
      <xdr:spPr>
        <a:xfrm>
          <a:off x="2340162" y="20147554"/>
          <a:ext cx="7924426" cy="40403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EC" sz="105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Hasta la presente fecha NO se ha generado accidentes registrables LTI .</a:t>
          </a:r>
        </a:p>
      </xdr:txBody>
    </xdr:sp>
    <xdr:clientData/>
  </xdr:twoCellAnchor>
  <xdr:twoCellAnchor editAs="oneCell">
    <xdr:from>
      <xdr:col>6</xdr:col>
      <xdr:colOff>703315</xdr:colOff>
      <xdr:row>14</xdr:row>
      <xdr:rowOff>155159</xdr:rowOff>
    </xdr:from>
    <xdr:to>
      <xdr:col>13</xdr:col>
      <xdr:colOff>269048</xdr:colOff>
      <xdr:row>20</xdr:row>
      <xdr:rowOff>44560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426A9D-E6D6-4101-9F8C-E10D6237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2471" y="2965034"/>
          <a:ext cx="4792577" cy="892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231321</xdr:colOff>
      <xdr:row>143</xdr:row>
      <xdr:rowOff>34932</xdr:rowOff>
    </xdr:from>
    <xdr:to>
      <xdr:col>12</xdr:col>
      <xdr:colOff>339876</xdr:colOff>
      <xdr:row>149</xdr:row>
      <xdr:rowOff>317507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CF8BF4-5510-44E2-B22C-E92945779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155</xdr:row>
      <xdr:rowOff>0</xdr:rowOff>
    </xdr:from>
    <xdr:to>
      <xdr:col>12</xdr:col>
      <xdr:colOff>316139</xdr:colOff>
      <xdr:row>170</xdr:row>
      <xdr:rowOff>136072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B9D165-133B-4C13-8ACE-E397CC501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0.11153</cdr:x>
      <cdr:y>0.25412</cdr:y>
    </cdr:from>
    <cdr:to>
      <cdr:x>0.71296</cdr:x>
      <cdr:y>0.46192</cdr:y>
    </cdr:to>
    <cdr:sp macro="" textlink="">
      <cdr:nvSpPr>
        <cdr:cNvPr id="2" name="CuadroTexto 22">
          <a:extLst xmlns:a="http://schemas.openxmlformats.org/drawingml/2006/main">
            <a:ext uri="{FF2B5EF4-FFF2-40B4-BE49-F238E27FC236}">
              <a16:creationId xmlns:a16="http://schemas.microsoft.com/office/drawing/2014/main" id="{5CC1F584-43A6-4EFD-A856-8A362D3F4778}"/>
            </a:ext>
          </a:extLst>
        </cdr:cNvPr>
        <cdr:cNvSpPr txBox="1"/>
      </cdr:nvSpPr>
      <cdr:spPr>
        <a:xfrm xmlns:a="http://schemas.openxmlformats.org/drawingml/2006/main">
          <a:off x="1044121" y="486228"/>
          <a:ext cx="5630395" cy="39760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s-EC" sz="105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Hasta la presente fecha NO se ha generado accidentes registrables LTI .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0.07963</cdr:x>
      <cdr:y>0.25434</cdr:y>
    </cdr:from>
    <cdr:to>
      <cdr:x>0.67083</cdr:x>
      <cdr:y>0.42428</cdr:y>
    </cdr:to>
    <cdr:sp macro="" textlink="">
      <cdr:nvSpPr>
        <cdr:cNvPr id="2" name="CuadroTexto 22">
          <a:extLst xmlns:a="http://schemas.openxmlformats.org/drawingml/2006/main">
            <a:ext uri="{FF2B5EF4-FFF2-40B4-BE49-F238E27FC236}">
              <a16:creationId xmlns:a16="http://schemas.microsoft.com/office/drawing/2014/main" id="{5CC1F584-43A6-4EFD-A856-8A362D3F4778}"/>
            </a:ext>
          </a:extLst>
        </cdr:cNvPr>
        <cdr:cNvSpPr txBox="1"/>
      </cdr:nvSpPr>
      <cdr:spPr>
        <a:xfrm xmlns:a="http://schemas.openxmlformats.org/drawingml/2006/main">
          <a:off x="758372" y="595085"/>
          <a:ext cx="5630395" cy="39760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s-EC" sz="105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Hasta la presente fecha NO se ha generado accidentes registrables LTI .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0.17192</cdr:x>
      <cdr:y>0.54892</cdr:y>
    </cdr:from>
    <cdr:to>
      <cdr:x>0.73318</cdr:x>
      <cdr:y>0.67218</cdr:y>
    </cdr:to>
    <cdr:sp macro="" textlink="">
      <cdr:nvSpPr>
        <cdr:cNvPr id="2" name="CuadroTexto 22">
          <a:extLst xmlns:a="http://schemas.openxmlformats.org/drawingml/2006/main">
            <a:ext uri="{FF2B5EF4-FFF2-40B4-BE49-F238E27FC236}">
              <a16:creationId xmlns:a16="http://schemas.microsoft.com/office/drawing/2014/main" id="{5CC1F584-43A6-4EFD-A856-8A362D3F4778}"/>
            </a:ext>
          </a:extLst>
        </cdr:cNvPr>
        <cdr:cNvSpPr txBox="1"/>
      </cdr:nvSpPr>
      <cdr:spPr>
        <a:xfrm xmlns:a="http://schemas.openxmlformats.org/drawingml/2006/main">
          <a:off x="1979612" y="1801019"/>
          <a:ext cx="6462564" cy="40440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s-EC" sz="105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Indicador</a:t>
          </a:r>
          <a:r>
            <a:rPr lang="es-EC" sz="1050" baseline="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 ambiental se presenta de manera trimestral, periodo OCT - DIC en desarrollo</a:t>
          </a:r>
          <a:r>
            <a:rPr lang="es-EC" sz="105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.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0.2148</cdr:x>
      <cdr:y>0.48363</cdr:y>
    </cdr:from>
    <cdr:to>
      <cdr:x>0.74296</cdr:x>
      <cdr:y>0.58068</cdr:y>
    </cdr:to>
    <cdr:sp macro="" textlink="">
      <cdr:nvSpPr>
        <cdr:cNvPr id="2" name="CuadroTexto 22">
          <a:extLst xmlns:a="http://schemas.openxmlformats.org/drawingml/2006/main">
            <a:ext uri="{FF2B5EF4-FFF2-40B4-BE49-F238E27FC236}">
              <a16:creationId xmlns:a16="http://schemas.microsoft.com/office/drawing/2014/main" id="{869160F3-C7C5-91F2-769F-876C8AB324E0}"/>
            </a:ext>
          </a:extLst>
        </cdr:cNvPr>
        <cdr:cNvSpPr txBox="1"/>
      </cdr:nvSpPr>
      <cdr:spPr>
        <a:xfrm xmlns:a="http://schemas.openxmlformats.org/drawingml/2006/main">
          <a:off x="2563019" y="2015332"/>
          <a:ext cx="6302184" cy="40440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s-EC" sz="105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Indicador</a:t>
          </a:r>
          <a:r>
            <a:rPr lang="es-EC" sz="1050" baseline="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 ambiental se presenta de manera trimestral, periodo OCT - DIC en desarrollo</a:t>
          </a:r>
          <a:r>
            <a:rPr lang="es-EC" sz="1050">
              <a:solidFill>
                <a:schemeClr val="dk1"/>
              </a:solidFill>
              <a:latin typeface="Century Gothic" panose="020B0502020202020204" pitchFamily="34" charset="0"/>
              <a:ea typeface="+mn-ea"/>
              <a:cs typeface="+mn-cs"/>
            </a:rPr>
            <a:t>.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Pablo Vaca" id="{C4D79F5D-B744-4C66-B7FD-F2C0D1AC6025}" userId="Pablo Vaca" providerId="None"/>
</personList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F-HSE-78%20MATRIZ%20INDICADORES%20HSE%20GRUPO%20EMPRESARIAL%202025%20(Act.%2007-02-2015).xlsx?F18319CB" TargetMode="External"/><Relationship Id="rId2" Type="http://schemas.openxmlformats.org/officeDocument/2006/relationships/externalLinkPath" Target="file:///\\F18319CB\F-HSE-78%20MATRIZ%20INDICADORES%20HSE%20GRUPO%20EMPRESARIAL%202025%20(Act.%2007-02-2015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3" Type="http://schemas.microsoft.com/office/2019/04/relationships/externalLinkLongPath" Target="F-HSE-78%20MATRIZ%20INDICADORES%20HSE%20GRUPO%20EMPRESARIAL%202025%20(Act.%2007-02-2015).xlsx?F18319CB" TargetMode="External"/><Relationship Id="rId2" Type="http://schemas.openxmlformats.org/officeDocument/2006/relationships/externalLinkPath" Target="file:///\\F18319CB\F-HSE-78%20MATRIZ%20INDICADORES%20HSE%20GRUPO%20EMPRESARIAL%202025%20(Act.%2007-02-2015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3" Type="http://schemas.microsoft.com/office/2019/04/relationships/externalLinkLongPath" Target="F-HSE-78%20MATRIZ%20INDICADORES%20HSE%20GRUPO%20EMPRESARIAL%202025%20(Act.%2007-02-2015).xlsx?F18319CB" TargetMode="External"/><Relationship Id="rId2" Type="http://schemas.openxmlformats.org/officeDocument/2006/relationships/externalLinkPath" Target="file:///\\F18319CB\F-HSE-78%20MATRIZ%20INDICADORES%20HSE%20GRUPO%20EMPRESARIAL%202025%20(Act.%2007-02-2015)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RDINADOR HSE UIO" refreshedDate="45638.447990740744" createdVersion="8" refreshedVersion="8" minRefreshableVersion="3" recordCount="51" xr:uid="{582C3CB3-1B10-4F5D-A903-8C63A588A3D8}">
  <cacheSource type="worksheet">
    <worksheetSource ref="B5:BK60" sheet="INDICADORES HSE 2025" r:id="rId2"/>
  </cacheSource>
  <cacheFields count="62">
    <cacheField name="SUB-PROCESO" numFmtId="0">
      <sharedItems containsBlank="1"/>
    </cacheField>
    <cacheField name="OBJETIVO PLANTEADO" numFmtId="0">
      <sharedItems containsBlank="1" count="59">
        <s v="Índice de Frecuencia (IF). Incidentes personales con pérdidas de días"/>
        <s v="Índice de gravedad"/>
        <s v="Tasa de riesgo"/>
        <s v=" Índice de incidentes vehiculares_x000a_(Motor vehicle crash)"/>
        <s v="Generación de Tarjetas Cero"/>
        <s v="Cierre de tarjetas cero"/>
        <s v="Análisis de Riesgo de Tarea"/>
        <s v="Observación Planeada de acción subestándar"/>
        <s v="Diálogo Periódico de Seguridad"/>
        <s v="Demanda de seguridad"/>
        <s v="Entrenamientos de seguridad"/>
        <s v="Órdenes de trabajo estandarizadas y auditables"/>
        <s v="Control de accidentes / incidentes"/>
        <s v="ÍnDICe de gestión de la Seguridad y Salud en el trabajo"/>
        <s v="índice de enfermedades Profesionales"/>
        <s v="índice de Exámenes Ocupacionales"/>
        <s v="Cumplimiento del Plan de Vigilancia de la Salud"/>
        <m/>
        <s v="Cumplimiento de Capacitación S.O"/>
        <s v="Cumplimiento de Entrenamientos y Simulacros S.O"/>
        <s v="Cumplimiento de investigación a exposición de riesgos laborales"/>
        <s v="Cumplimiento de Programas de Promoción de la Salud"/>
        <s v="Orden y limpieza"/>
        <s v="Formación y sensibilización ambiental"/>
        <s v="Consumo energético "/>
        <s v="Consumo agua"/>
        <s v="Reciclaje residuos"/>
        <s v="Cumplimiento al plan de monitoreo"/>
        <s v="Cumplimiento límites permisibles emisiones gaseosas"/>
        <s v="Cumplimiento límites permisibles monitoreo aguas"/>
        <s v="Cumplimiento al PMA"/>
        <s v="Cumplimiento acciones correctivas "/>
        <s v="Productos químicos de limpieza biodegradables"/>
        <s v="Energías renovables"/>
        <s v="Innovación tecnológica"/>
        <s v="Talleres ambientales"/>
        <s v="Índice de desempeño ambiental global"/>
        <s v="Índice de contratación de Mano de Obra Local (BV TBG)"/>
        <s v="Índice de contratación de Mano de Obra Local (PEC-EP)"/>
        <s v="Índice de contratación de Servicios locales"/>
        <s v="Índice de inducciones realizadas a personal contratista"/>
        <s v="Índice de Gestión de conflictos sociales "/>
        <s v="Índice de caracterizaciones sociales realizadas"/>
        <s v="Índice de gestión de cierre de ítems B"/>
        <s v="Índice de PNCs levantados por el total de las desviaciones observadas en las operaciones de BV"/>
        <s v="Índice de dossiers de calidad PRF &amp; CPI"/>
        <s v="Índice de dossiers de calidad Equipos de Superficie"/>
        <s v="Índice de eficiencia en liberaciones"/>
        <s v="índice de PNC´s levantados por el total de desviaciones observadas en las operaciones Base Coca."/>
        <s v="Porcentaje de Inspecciones vencidas de herramientas/equipos de los Rigs"/>
        <s v="Cantidad de Inspecciones vencidas de sartas drill pipe de Rigs "/>
        <s v="Energías reovables" u="1"/>
        <s v="Índice de Frecuencia de Derrames" u="1"/>
        <s v="Cumplimiento de Planes de Manejo Ambiental" u="1"/>
        <s v="Reducción de 35% de suelos contaminados con relación a los generado en el año 2022. " u="1"/>
        <s v="Mitigación de Riesgos de Seguridad Física" u="1"/>
        <s v="Cumplimiento del Plan de Vigilancia de Seguridad Física" u="1"/>
        <s v="Cumplimiento del Plan de Capacitación Seguridad Física" u="1"/>
        <s v="Control de accidentes de Seguridad Física" u="1"/>
      </sharedItems>
    </cacheField>
    <cacheField name="INDICADOR" numFmtId="0">
      <sharedItems containsBlank="1"/>
    </cacheField>
    <cacheField name="FÓRMULA DE CÁLCULO" numFmtId="0">
      <sharedItems/>
    </cacheField>
    <cacheField name="META 2022" numFmtId="0">
      <sharedItems containsBlank="1" containsMixedTypes="1" containsNumber="1" minValue="0.5" maxValue="1"/>
    </cacheField>
    <cacheField name="META 2024" numFmtId="0">
      <sharedItems containsMixedTypes="1" containsNumber="1" minValue="0.25" maxValue="1"/>
    </cacheField>
    <cacheField name="FRECUENCIA DE CONTROL" numFmtId="0">
      <sharedItems/>
    </cacheField>
    <cacheField name="TBG ENE" numFmtId="0">
      <sharedItems containsString="0" containsBlank="1" containsNumber="1" minValue="0" maxValue="1"/>
    </cacheField>
    <cacheField name="BV ENE" numFmtId="0">
      <sharedItems containsString="0" containsBlank="1" containsNumber="1" minValue="0" maxValue="1"/>
    </cacheField>
    <cacheField name="CNX ENE" numFmtId="0">
      <sharedItems containsString="0" containsBlank="1" containsNumber="1" minValue="0" maxValue="1"/>
    </cacheField>
    <cacheField name="CSH ENE" numFmtId="0">
      <sharedItems containsBlank="1" containsMixedTypes="1" containsNumber="1" minValue="0" maxValue="1"/>
    </cacheField>
    <cacheField name="TUR ENE" numFmtId="0">
      <sharedItems containsString="0" containsBlank="1" containsNumber="1" containsInteger="1" minValue="0" maxValue="1"/>
    </cacheField>
    <cacheField name="TBG FEB" numFmtId="0">
      <sharedItems containsString="0" containsBlank="1" containsNumber="1" minValue="0" maxValue="2"/>
    </cacheField>
    <cacheField name="BV _x000a_FEB" numFmtId="0">
      <sharedItems containsString="0" containsBlank="1" containsNumber="1" minValue="0" maxValue="1"/>
    </cacheField>
    <cacheField name="CNX FEB" numFmtId="0">
      <sharedItems containsString="0" containsBlank="1" containsNumber="1" minValue="0" maxValue="1"/>
    </cacheField>
    <cacheField name="CSH FEB" numFmtId="0">
      <sharedItems containsBlank="1" containsMixedTypes="1" containsNumber="1" minValue="0" maxValue="1"/>
    </cacheField>
    <cacheField name="TUR FEB" numFmtId="0">
      <sharedItems containsString="0" containsBlank="1" containsNumber="1" minValue="0" maxValue="1"/>
    </cacheField>
    <cacheField name="TBG MAR" numFmtId="0">
      <sharedItems containsString="0" containsBlank="1" containsNumber="1" minValue="0" maxValue="5"/>
    </cacheField>
    <cacheField name="BV MAR" numFmtId="0">
      <sharedItems containsString="0" containsBlank="1" containsNumber="1" minValue="0" maxValue="1"/>
    </cacheField>
    <cacheField name="CNX MAR" numFmtId="0">
      <sharedItems containsString="0" containsBlank="1" containsNumber="1" minValue="0" maxValue="1"/>
    </cacheField>
    <cacheField name="CSH MAR" numFmtId="0">
      <sharedItems containsBlank="1" containsMixedTypes="1" containsNumber="1" minValue="0" maxValue="1"/>
    </cacheField>
    <cacheField name="TUR MAR" numFmtId="0">
      <sharedItems containsString="0" containsBlank="1" containsNumber="1" minValue="0" maxValue="1"/>
    </cacheField>
    <cacheField name="TBG ABR" numFmtId="0">
      <sharedItems containsString="0" containsBlank="1" containsNumber="1" minValue="0" maxValue="13.22"/>
    </cacheField>
    <cacheField name="BV ABR" numFmtId="0">
      <sharedItems containsString="0" containsBlank="1" containsNumber="1" minValue="0" maxValue="1"/>
    </cacheField>
    <cacheField name="CNX ABR" numFmtId="0">
      <sharedItems containsString="0" containsBlank="1" containsNumber="1" minValue="0" maxValue="1"/>
    </cacheField>
    <cacheField name="CSH ABR" numFmtId="0">
      <sharedItems containsBlank="1" containsMixedTypes="1" containsNumber="1" minValue="0" maxValue="1"/>
    </cacheField>
    <cacheField name="TUR ABR" numFmtId="0">
      <sharedItems containsString="0" containsBlank="1" containsNumber="1" minValue="0" maxValue="1"/>
    </cacheField>
    <cacheField name="TBG MAY" numFmtId="0">
      <sharedItems containsString="0" containsBlank="1" containsNumber="1" minValue="0" maxValue="15.5"/>
    </cacheField>
    <cacheField name="BV MAY" numFmtId="0">
      <sharedItems containsString="0" containsBlank="1" containsNumber="1" minValue="0" maxValue="1"/>
    </cacheField>
    <cacheField name="CNX MAY" numFmtId="0">
      <sharedItems containsString="0" containsBlank="1" containsNumber="1" minValue="0" maxValue="1"/>
    </cacheField>
    <cacheField name="CSH MAY" numFmtId="0">
      <sharedItems containsString="0" containsBlank="1" containsNumber="1" minValue="0" maxValue="1"/>
    </cacheField>
    <cacheField name="TUR MAY" numFmtId="0">
      <sharedItems containsNonDate="0" containsString="0" containsBlank="1"/>
    </cacheField>
    <cacheField name="TBG JUN" numFmtId="0">
      <sharedItems containsString="0" containsBlank="1" containsNumber="1" minValue="0" maxValue="15.33"/>
    </cacheField>
    <cacheField name="BV JUN" numFmtId="0">
      <sharedItems containsString="0" containsBlank="1" containsNumber="1" minValue="0" maxValue="1"/>
    </cacheField>
    <cacheField name="CNX JUN" numFmtId="0">
      <sharedItems containsString="0" containsBlank="1" containsNumber="1" minValue="0" maxValue="1"/>
    </cacheField>
    <cacheField name="CSH JUN" numFmtId="0">
      <sharedItems containsString="0" containsBlank="1" containsNumber="1" minValue="0" maxValue="1"/>
    </cacheField>
    <cacheField name="TUR JUN" numFmtId="0">
      <sharedItems containsNonDate="0" containsString="0" containsBlank="1"/>
    </cacheField>
    <cacheField name="TBG JUL" numFmtId="0">
      <sharedItems containsString="0" containsBlank="1" containsNumber="1" minValue="0" maxValue="15.32"/>
    </cacheField>
    <cacheField name="BV JUL" numFmtId="0">
      <sharedItems containsString="0" containsBlank="1" containsNumber="1" minValue="0" maxValue="1"/>
    </cacheField>
    <cacheField name="CNX JUL" numFmtId="0">
      <sharedItems containsString="0" containsBlank="1" containsNumber="1" minValue="0" maxValue="1"/>
    </cacheField>
    <cacheField name="CSH JUL" numFmtId="0">
      <sharedItems containsString="0" containsBlank="1" containsNumber="1" minValue="0" maxValue="1"/>
    </cacheField>
    <cacheField name="TUR JUL" numFmtId="0">
      <sharedItems containsNonDate="0" containsString="0" containsBlank="1"/>
    </cacheField>
    <cacheField name="TBG AGO" numFmtId="0">
      <sharedItems containsString="0" containsBlank="1" containsNumber="1" minValue="0" maxValue="16.75"/>
    </cacheField>
    <cacheField name="BV AGO" numFmtId="0">
      <sharedItems containsString="0" containsBlank="1" containsNumber="1" minValue="0" maxValue="189.28"/>
    </cacheField>
    <cacheField name="CNX AGO" numFmtId="0">
      <sharedItems containsString="0" containsBlank="1" containsNumber="1" minValue="0" maxValue="1"/>
    </cacheField>
    <cacheField name="CSH AGO" numFmtId="0">
      <sharedItems containsString="0" containsBlank="1" containsNumber="1" minValue="0" maxValue="1"/>
    </cacheField>
    <cacheField name="TUR AGO" numFmtId="0">
      <sharedItems containsNonDate="0" containsString="0" containsBlank="1"/>
    </cacheField>
    <cacheField name="TBG SEP" numFmtId="0">
      <sharedItems containsString="0" containsBlank="1" containsNumber="1" minValue="0" maxValue="16.739999999999998"/>
    </cacheField>
    <cacheField name="BV SEP" numFmtId="0">
      <sharedItems containsString="0" containsBlank="1" containsNumber="1" minValue="0" maxValue="164"/>
    </cacheField>
    <cacheField name="CNX SEP" numFmtId="0">
      <sharedItems containsBlank="1" containsMixedTypes="1" containsNumber="1" minValue="0" maxValue="1"/>
    </cacheField>
    <cacheField name="CSH SEP" numFmtId="0">
      <sharedItems containsString="0" containsBlank="1" containsNumber="1" minValue="0" maxValue="1"/>
    </cacheField>
    <cacheField name="TUR SEP" numFmtId="0">
      <sharedItems containsNonDate="0" containsString="0" containsBlank="1"/>
    </cacheField>
    <cacheField name="TBG OCT" numFmtId="0">
      <sharedItems containsString="0" containsBlank="1" containsNumber="1" minValue="0" maxValue="16.75"/>
    </cacheField>
    <cacheField name="BV OCT" numFmtId="0">
      <sharedItems containsBlank="1" containsMixedTypes="1" containsNumber="1" minValue="0" maxValue="164"/>
    </cacheField>
    <cacheField name="CNX OCT" numFmtId="0">
      <sharedItems containsString="0" containsBlank="1" containsNumber="1" minValue="0" maxValue="1"/>
    </cacheField>
    <cacheField name="CSH OCT" numFmtId="0">
      <sharedItems containsString="0" containsBlank="1" containsNumber="1" minValue="0" maxValue="1"/>
    </cacheField>
    <cacheField name="TUR OCT" numFmtId="9">
      <sharedItems containsNonDate="0" containsString="0" containsBlank="1"/>
    </cacheField>
    <cacheField name="TBG NOV" numFmtId="0">
      <sharedItems containsString="0" containsBlank="1" containsNumber="1" minValue="0" maxValue="16.75"/>
    </cacheField>
    <cacheField name="BV NOV" numFmtId="0">
      <sharedItems containsString="0" containsBlank="1" containsNumber="1" minValue="0" maxValue="164"/>
    </cacheField>
    <cacheField name="CNX NOV" numFmtId="0">
      <sharedItems containsString="0" containsBlank="1" containsNumber="1" minValue="0" maxValue="1"/>
    </cacheField>
    <cacheField name="CSH NOV" numFmtId="0">
      <sharedItems containsString="0" containsBlank="1" containsNumber="1" minValue="0" maxValue="1"/>
    </cacheField>
    <cacheField name="TUR NOV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RDINADOR HSE UIO" refreshedDate="45638.447994328701" createdVersion="8" refreshedVersion="8" minRefreshableVersion="3" recordCount="51" xr:uid="{CAA024FF-2CC0-4936-81AA-896BD37722D5}">
  <cacheSource type="worksheet">
    <worksheetSource ref="B5:BP60" sheet="INDICADORES HSE 2025" r:id="rId2"/>
  </cacheSource>
  <cacheFields count="67">
    <cacheField name="SUB-PROCESO" numFmtId="0">
      <sharedItems containsBlank="1"/>
    </cacheField>
    <cacheField name="OBJETIVO PLANTEADO" numFmtId="0">
      <sharedItems containsBlank="1" count="52">
        <s v="Índice de Frecuencia (IF). Incidentes personales con pérdidas de días"/>
        <s v="Índice de gravedad"/>
        <s v="Tasa de riesgo"/>
        <s v=" Índice de incidentes vehiculares_x000a_(Motor vehicle crash)"/>
        <s v="Generación de Tarjetas Cero"/>
        <s v="Cierre de tarjetas cero"/>
        <s v="Análisis de Riesgo de Tarea"/>
        <s v="Observación Planeada de acción subestándar"/>
        <s v="Diálogo Periódico de Seguridad"/>
        <s v="Demanda de seguridad"/>
        <s v="Entrenamientos de seguridad"/>
        <s v="Órdenes de trabajo estandarizadas y auditables"/>
        <s v="Control de accidentes / incidentes"/>
        <s v="ÍnDICe de gestión de la Seguridad y Salud en el trabajo"/>
        <s v="índice de enfermedades Profesionales"/>
        <s v="índice de Exámenes Ocupacionales"/>
        <s v="Cumplimiento del Plan de Vigilancia de la Salud"/>
        <m/>
        <s v="Cumplimiento de Capacitación S.O"/>
        <s v="Cumplimiento de Entrenamientos y Simulacros S.O"/>
        <s v="Cumplimiento de investigación a exposición de riesgos laborales"/>
        <s v="Cumplimiento de Programas de Promoción de la Salud"/>
        <s v="Orden y limpieza"/>
        <s v="Formación y sensibilización ambiental"/>
        <s v="Consumo energético "/>
        <s v="Consumo agua"/>
        <s v="Reciclaje residuos"/>
        <s v="Cumplimiento al plan de monitoreo"/>
        <s v="Cumplimiento límites permisibles emisiones gaseosas"/>
        <s v="Cumplimiento límites permisibles monitoreo aguas"/>
        <s v="Cumplimiento al PMA"/>
        <s v="Cumplimiento acciones correctivas "/>
        <s v="Productos químicos de limpieza biodegradables"/>
        <s v="Energías renovables"/>
        <s v="Innovación tecnológica"/>
        <s v="Talleres ambientales"/>
        <s v="Índice de desempeño ambiental global"/>
        <s v="Índice de contratación de Mano de Obra Local (BV TBG)"/>
        <s v="Índice de contratación de Mano de Obra Local (PEC-EP)"/>
        <s v="Índice de contratación de Servicios locales"/>
        <s v="Índice de inducciones realizadas a personal contratista"/>
        <s v="Índice de Gestión de conflictos sociales "/>
        <s v="Índice de caracterizaciones sociales realizadas"/>
        <s v="Índice de gestión de cierre de ítems B"/>
        <s v="Índice de PNCs levantados por el total de las desviaciones observadas en las operaciones de BV"/>
        <s v="Índice de dossiers de calidad PRF &amp; CPI"/>
        <s v="Índice de dossiers de calidad Equipos de Superficie"/>
        <s v="Índice de eficiencia en liberaciones"/>
        <s v="índice de PNC´s levantados por el total de desviaciones observadas en las operaciones Base Coca."/>
        <s v="Porcentaje de Inspecciones vencidas de herramientas/equipos de los Rigs"/>
        <s v="Cantidad de Inspecciones vencidas de sartas drill pipe de Rigs "/>
        <s v="Energías reovables" u="1"/>
      </sharedItems>
    </cacheField>
    <cacheField name="INDICADOR" numFmtId="0">
      <sharedItems containsBlank="1"/>
    </cacheField>
    <cacheField name="FÓRMULA DE CÁLCULO" numFmtId="0">
      <sharedItems/>
    </cacheField>
    <cacheField name="META 2022" numFmtId="0">
      <sharedItems containsBlank="1" containsMixedTypes="1" containsNumber="1" minValue="0.5" maxValue="1"/>
    </cacheField>
    <cacheField name="META 2024" numFmtId="0">
      <sharedItems containsMixedTypes="1" containsNumber="1" minValue="0.25" maxValue="1"/>
    </cacheField>
    <cacheField name="FRECUENCIA DE CONTROL" numFmtId="0">
      <sharedItems/>
    </cacheField>
    <cacheField name="TBG ENE" numFmtId="0">
      <sharedItems containsString="0" containsBlank="1" containsNumber="1" minValue="0" maxValue="1"/>
    </cacheField>
    <cacheField name="BV ENE" numFmtId="0">
      <sharedItems containsString="0" containsBlank="1" containsNumber="1" minValue="0" maxValue="1"/>
    </cacheField>
    <cacheField name="CNX ENE" numFmtId="0">
      <sharedItems containsString="0" containsBlank="1" containsNumber="1" minValue="0" maxValue="1"/>
    </cacheField>
    <cacheField name="CSH ENE" numFmtId="0">
      <sharedItems containsBlank="1" containsMixedTypes="1" containsNumber="1" minValue="0" maxValue="1"/>
    </cacheField>
    <cacheField name="TUR ENE" numFmtId="0">
      <sharedItems containsString="0" containsBlank="1" containsNumber="1" containsInteger="1" minValue="0" maxValue="1"/>
    </cacheField>
    <cacheField name="TBG FEB" numFmtId="0">
      <sharedItems containsString="0" containsBlank="1" containsNumber="1" minValue="0" maxValue="2"/>
    </cacheField>
    <cacheField name="BV _x000a_FEB" numFmtId="0">
      <sharedItems containsString="0" containsBlank="1" containsNumber="1" minValue="0" maxValue="1"/>
    </cacheField>
    <cacheField name="CNX FEB" numFmtId="0">
      <sharedItems containsString="0" containsBlank="1" containsNumber="1" minValue="0" maxValue="1"/>
    </cacheField>
    <cacheField name="CSH FEB" numFmtId="0">
      <sharedItems containsBlank="1" containsMixedTypes="1" containsNumber="1" minValue="0" maxValue="1"/>
    </cacheField>
    <cacheField name="TUR FEB" numFmtId="0">
      <sharedItems containsString="0" containsBlank="1" containsNumber="1" minValue="0" maxValue="1"/>
    </cacheField>
    <cacheField name="TBG MAR" numFmtId="0">
      <sharedItems containsString="0" containsBlank="1" containsNumber="1" minValue="0" maxValue="5"/>
    </cacheField>
    <cacheField name="BV MAR" numFmtId="0">
      <sharedItems containsString="0" containsBlank="1" containsNumber="1" minValue="0" maxValue="1"/>
    </cacheField>
    <cacheField name="CNX MAR" numFmtId="0">
      <sharedItems containsString="0" containsBlank="1" containsNumber="1" minValue="0" maxValue="1"/>
    </cacheField>
    <cacheField name="CSH MAR" numFmtId="0">
      <sharedItems containsBlank="1" containsMixedTypes="1" containsNumber="1" minValue="0" maxValue="1"/>
    </cacheField>
    <cacheField name="TUR MAR" numFmtId="0">
      <sharedItems containsString="0" containsBlank="1" containsNumber="1" minValue="0" maxValue="1"/>
    </cacheField>
    <cacheField name="TBG ABR" numFmtId="0">
      <sharedItems containsString="0" containsBlank="1" containsNumber="1" minValue="0" maxValue="13.22"/>
    </cacheField>
    <cacheField name="BV ABR" numFmtId="0">
      <sharedItems containsString="0" containsBlank="1" containsNumber="1" minValue="0" maxValue="1"/>
    </cacheField>
    <cacheField name="CNX ABR" numFmtId="0">
      <sharedItems containsString="0" containsBlank="1" containsNumber="1" minValue="0" maxValue="1"/>
    </cacheField>
    <cacheField name="CSH ABR" numFmtId="0">
      <sharedItems containsBlank="1" containsMixedTypes="1" containsNumber="1" minValue="0" maxValue="1"/>
    </cacheField>
    <cacheField name="TUR ABR" numFmtId="0">
      <sharedItems containsString="0" containsBlank="1" containsNumber="1" minValue="0" maxValue="1"/>
    </cacheField>
    <cacheField name="TBG MAY" numFmtId="0">
      <sharedItems containsString="0" containsBlank="1" containsNumber="1" minValue="0" maxValue="15.5"/>
    </cacheField>
    <cacheField name="BV MAY" numFmtId="0">
      <sharedItems containsString="0" containsBlank="1" containsNumber="1" minValue="0" maxValue="1"/>
    </cacheField>
    <cacheField name="CNX MAY" numFmtId="0">
      <sharedItems containsString="0" containsBlank="1" containsNumber="1" minValue="0" maxValue="1"/>
    </cacheField>
    <cacheField name="CSH MAY" numFmtId="0">
      <sharedItems containsString="0" containsBlank="1" containsNumber="1" minValue="0" maxValue="1"/>
    </cacheField>
    <cacheField name="TUR MAY" numFmtId="0">
      <sharedItems containsNonDate="0" containsString="0" containsBlank="1"/>
    </cacheField>
    <cacheField name="TBG JUN" numFmtId="0">
      <sharedItems containsString="0" containsBlank="1" containsNumber="1" minValue="0" maxValue="15.33"/>
    </cacheField>
    <cacheField name="BV JUN" numFmtId="0">
      <sharedItems containsString="0" containsBlank="1" containsNumber="1" minValue="0" maxValue="1"/>
    </cacheField>
    <cacheField name="CNX JUN" numFmtId="0">
      <sharedItems containsString="0" containsBlank="1" containsNumber="1" minValue="0" maxValue="1"/>
    </cacheField>
    <cacheField name="CSH JUN" numFmtId="0">
      <sharedItems containsString="0" containsBlank="1" containsNumber="1" minValue="0" maxValue="1"/>
    </cacheField>
    <cacheField name="TUR JUN" numFmtId="0">
      <sharedItems containsNonDate="0" containsString="0" containsBlank="1"/>
    </cacheField>
    <cacheField name="TBG JUL" numFmtId="0">
      <sharedItems containsString="0" containsBlank="1" containsNumber="1" minValue="0" maxValue="15.32"/>
    </cacheField>
    <cacheField name="BV JUL" numFmtId="0">
      <sharedItems containsString="0" containsBlank="1" containsNumber="1" minValue="0" maxValue="1"/>
    </cacheField>
    <cacheField name="CNX JUL" numFmtId="0">
      <sharedItems containsString="0" containsBlank="1" containsNumber="1" minValue="0" maxValue="1"/>
    </cacheField>
    <cacheField name="CSH JUL" numFmtId="0">
      <sharedItems containsString="0" containsBlank="1" containsNumber="1" minValue="0" maxValue="1"/>
    </cacheField>
    <cacheField name="TUR JUL" numFmtId="0">
      <sharedItems containsNonDate="0" containsString="0" containsBlank="1"/>
    </cacheField>
    <cacheField name="TBG AGO" numFmtId="0">
      <sharedItems containsString="0" containsBlank="1" containsNumber="1" minValue="0" maxValue="16.75"/>
    </cacheField>
    <cacheField name="BV AGO" numFmtId="0">
      <sharedItems containsString="0" containsBlank="1" containsNumber="1" minValue="0" maxValue="189.28"/>
    </cacheField>
    <cacheField name="CNX AGO" numFmtId="0">
      <sharedItems containsString="0" containsBlank="1" containsNumber="1" minValue="0" maxValue="1"/>
    </cacheField>
    <cacheField name="CSH AGO" numFmtId="0">
      <sharedItems containsString="0" containsBlank="1" containsNumber="1" minValue="0" maxValue="1"/>
    </cacheField>
    <cacheField name="TUR AGO" numFmtId="0">
      <sharedItems containsNonDate="0" containsString="0" containsBlank="1"/>
    </cacheField>
    <cacheField name="TBG SEP" numFmtId="0">
      <sharedItems containsString="0" containsBlank="1" containsNumber="1" minValue="0" maxValue="16.739999999999998"/>
    </cacheField>
    <cacheField name="BV SEP" numFmtId="0">
      <sharedItems containsString="0" containsBlank="1" containsNumber="1" minValue="0" maxValue="164"/>
    </cacheField>
    <cacheField name="CNX SEP" numFmtId="0">
      <sharedItems containsBlank="1" containsMixedTypes="1" containsNumber="1" minValue="0" maxValue="1"/>
    </cacheField>
    <cacheField name="CSH SEP" numFmtId="0">
      <sharedItems containsString="0" containsBlank="1" containsNumber="1" minValue="0" maxValue="1"/>
    </cacheField>
    <cacheField name="TUR SEP" numFmtId="0">
      <sharedItems containsNonDate="0" containsString="0" containsBlank="1"/>
    </cacheField>
    <cacheField name="TBG OCT" numFmtId="0">
      <sharedItems containsString="0" containsBlank="1" containsNumber="1" minValue="0" maxValue="16.75"/>
    </cacheField>
    <cacheField name="BV OCT" numFmtId="0">
      <sharedItems containsBlank="1" containsMixedTypes="1" containsNumber="1" minValue="0" maxValue="164"/>
    </cacheField>
    <cacheField name="CNX OCT" numFmtId="0">
      <sharedItems containsString="0" containsBlank="1" containsNumber="1" minValue="0" maxValue="1"/>
    </cacheField>
    <cacheField name="CSH OCT" numFmtId="0">
      <sharedItems containsString="0" containsBlank="1" containsNumber="1" minValue="0" maxValue="1"/>
    </cacheField>
    <cacheField name="TUR OCT" numFmtId="9">
      <sharedItems containsNonDate="0" containsString="0" containsBlank="1"/>
    </cacheField>
    <cacheField name="TBG NOV" numFmtId="0">
      <sharedItems containsString="0" containsBlank="1" containsNumber="1" minValue="0" maxValue="16.75"/>
    </cacheField>
    <cacheField name="BV NOV" numFmtId="0">
      <sharedItems containsString="0" containsBlank="1" containsNumber="1" minValue="0" maxValue="164"/>
    </cacheField>
    <cacheField name="CNX NOV" numFmtId="0">
      <sharedItems containsString="0" containsBlank="1" containsNumber="1" minValue="0" maxValue="1"/>
    </cacheField>
    <cacheField name="CSH NOV" numFmtId="0">
      <sharedItems containsString="0" containsBlank="1" containsNumber="1" minValue="0" maxValue="1"/>
    </cacheField>
    <cacheField name="TUR NOV" numFmtId="0">
      <sharedItems containsNonDate="0" containsString="0" containsBlank="1"/>
    </cacheField>
    <cacheField name="TBG DIC" numFmtId="0">
      <sharedItems containsNonDate="0" containsString="0" containsBlank="1"/>
    </cacheField>
    <cacheField name="BV DIC" numFmtId="0">
      <sharedItems containsNonDate="0" containsString="0" containsBlank="1"/>
    </cacheField>
    <cacheField name="CNX DIC" numFmtId="0">
      <sharedItems containsNonDate="0" containsString="0" containsBlank="1"/>
    </cacheField>
    <cacheField name="CSH DIC" numFmtId="0">
      <sharedItems containsNonDate="0" containsString="0" containsBlank="1"/>
    </cacheField>
    <cacheField name="TUR DIC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RDINADOR HSE UIO" refreshedDate="45638.447995601855" createdVersion="8" refreshedVersion="8" minRefreshableVersion="3" recordCount="51" xr:uid="{35A75407-F793-42E9-BDCE-2DA9F85FB6F3}">
  <cacheSource type="worksheet">
    <worksheetSource ref="A5:BP60" sheet="INDICADORES HSE 2025" r:id="rId2"/>
  </cacheSource>
  <cacheFields count="68">
    <cacheField name="#" numFmtId="0">
      <sharedItems containsSemiMixedTypes="0" containsString="0" containsNumber="1" containsInteger="1" minValue="1" maxValue="14"/>
    </cacheField>
    <cacheField name="SUB-PROCESO" numFmtId="0">
      <sharedItems containsBlank="1"/>
    </cacheField>
    <cacheField name="OBJETIVO PLANTEADO" numFmtId="0">
      <sharedItems containsBlank="1" count="52">
        <s v="Índice de Frecuencia (IF). Incidentes personales con pérdidas de días"/>
        <s v="Índice de gravedad"/>
        <s v="Tasa de riesgo"/>
        <s v=" Índice de incidentes vehiculares_x000a_(Motor vehicle crash)"/>
        <s v="Generación de Tarjetas Cero"/>
        <s v="Cierre de tarjetas cero"/>
        <s v="Análisis de Riesgo de Tarea"/>
        <s v="Observación Planeada de acción subestándar"/>
        <s v="Diálogo Periódico de Seguridad"/>
        <s v="Demanda de seguridad"/>
        <s v="Entrenamientos de seguridad"/>
        <s v="Órdenes de trabajo estandarizadas y auditables"/>
        <s v="Control de accidentes / incidentes"/>
        <s v="ÍnDICe de gestión de la Seguridad y Salud en el trabajo"/>
        <s v="índice de enfermedades Profesionales"/>
        <s v="índice de Exámenes Ocupacionales"/>
        <s v="Cumplimiento del Plan de Vigilancia de la Salud"/>
        <m/>
        <s v="Cumplimiento de Capacitación S.O"/>
        <s v="Cumplimiento de Entrenamientos y Simulacros S.O"/>
        <s v="Cumplimiento de investigación a exposición de riesgos laborales"/>
        <s v="Cumplimiento de Programas de Promoción de la Salud"/>
        <s v="Orden y limpieza"/>
        <s v="Formación y sensibilización ambiental"/>
        <s v="Consumo energético "/>
        <s v="Consumo agua"/>
        <s v="Reciclaje residuos"/>
        <s v="Cumplimiento al plan de monitoreo"/>
        <s v="Cumplimiento límites permisibles emisiones gaseosas"/>
        <s v="Cumplimiento límites permisibles monitoreo aguas"/>
        <s v="Cumplimiento al PMA"/>
        <s v="Cumplimiento acciones correctivas "/>
        <s v="Productos químicos de limpieza biodegradables"/>
        <s v="Energías renovables"/>
        <s v="Innovación tecnológica"/>
        <s v="Talleres ambientales"/>
        <s v="Índice de desempeño ambiental global"/>
        <s v="Índice de contratación de Mano de Obra Local (BV TBG)"/>
        <s v="Índice de contratación de Mano de Obra Local (PEC-EP)"/>
        <s v="Índice de contratación de Servicios locales"/>
        <s v="Índice de inducciones realizadas a personal contratista"/>
        <s v="Índice de Gestión de conflictos sociales "/>
        <s v="Índice de caracterizaciones sociales realizadas"/>
        <s v="Índice de gestión de cierre de ítems B"/>
        <s v="Índice de PNCs levantados por el total de las desviaciones observadas en las operaciones de BV"/>
        <s v="Índice de dossiers de calidad PRF &amp; CPI"/>
        <s v="Índice de dossiers de calidad Equipos de Superficie"/>
        <s v="Índice de eficiencia en liberaciones"/>
        <s v="índice de PNC´s levantados por el total de desviaciones observadas en las operaciones Base Coca."/>
        <s v="Porcentaje de Inspecciones vencidas de herramientas/equipos de los Rigs"/>
        <s v="Cantidad de Inspecciones vencidas de sartas drill pipe de Rigs "/>
        <s v="Energías reovables" u="1"/>
      </sharedItems>
    </cacheField>
    <cacheField name="INDICADOR" numFmtId="0">
      <sharedItems containsBlank="1"/>
    </cacheField>
    <cacheField name="FÓRMULA DE CÁLCULO" numFmtId="0">
      <sharedItems/>
    </cacheField>
    <cacheField name="META 2022" numFmtId="0">
      <sharedItems containsBlank="1" containsMixedTypes="1" containsNumber="1" minValue="0.5" maxValue="1"/>
    </cacheField>
    <cacheField name="META 2024" numFmtId="0">
      <sharedItems containsMixedTypes="1" containsNumber="1" minValue="0.25" maxValue="1"/>
    </cacheField>
    <cacheField name="FRECUENCIA DE CONTROL" numFmtId="0">
      <sharedItems/>
    </cacheField>
    <cacheField name="TBG ENE" numFmtId="0">
      <sharedItems containsString="0" containsBlank="1" containsNumber="1" minValue="0" maxValue="1"/>
    </cacheField>
    <cacheField name="BV ENE" numFmtId="0">
      <sharedItems containsString="0" containsBlank="1" containsNumber="1" minValue="0" maxValue="1"/>
    </cacheField>
    <cacheField name="CNX ENE" numFmtId="0">
      <sharedItems containsString="0" containsBlank="1" containsNumber="1" minValue="0" maxValue="1"/>
    </cacheField>
    <cacheField name="CSH ENE" numFmtId="0">
      <sharedItems containsBlank="1" containsMixedTypes="1" containsNumber="1" minValue="0" maxValue="1"/>
    </cacheField>
    <cacheField name="TUR ENE" numFmtId="0">
      <sharedItems containsString="0" containsBlank="1" containsNumber="1" containsInteger="1" minValue="0" maxValue="1"/>
    </cacheField>
    <cacheField name="TBG FEB" numFmtId="0">
      <sharedItems containsString="0" containsBlank="1" containsNumber="1" minValue="0" maxValue="2"/>
    </cacheField>
    <cacheField name="BV _x000a_FEB" numFmtId="0">
      <sharedItems containsString="0" containsBlank="1" containsNumber="1" minValue="0" maxValue="1"/>
    </cacheField>
    <cacheField name="CNX FEB" numFmtId="0">
      <sharedItems containsString="0" containsBlank="1" containsNumber="1" minValue="0" maxValue="1"/>
    </cacheField>
    <cacheField name="CSH FEB" numFmtId="0">
      <sharedItems containsBlank="1" containsMixedTypes="1" containsNumber="1" minValue="0" maxValue="1"/>
    </cacheField>
    <cacheField name="TUR FEB" numFmtId="0">
      <sharedItems containsString="0" containsBlank="1" containsNumber="1" minValue="0" maxValue="1"/>
    </cacheField>
    <cacheField name="TBG MAR" numFmtId="0">
      <sharedItems containsString="0" containsBlank="1" containsNumber="1" minValue="0" maxValue="5"/>
    </cacheField>
    <cacheField name="BV MAR" numFmtId="0">
      <sharedItems containsString="0" containsBlank="1" containsNumber="1" minValue="0" maxValue="1"/>
    </cacheField>
    <cacheField name="CNX MAR" numFmtId="0">
      <sharedItems containsString="0" containsBlank="1" containsNumber="1" minValue="0" maxValue="1"/>
    </cacheField>
    <cacheField name="CSH MAR" numFmtId="0">
      <sharedItems containsBlank="1" containsMixedTypes="1" containsNumber="1" minValue="0" maxValue="1"/>
    </cacheField>
    <cacheField name="TUR MAR" numFmtId="0">
      <sharedItems containsString="0" containsBlank="1" containsNumber="1" minValue="0" maxValue="1"/>
    </cacheField>
    <cacheField name="TBG ABR" numFmtId="0">
      <sharedItems containsString="0" containsBlank="1" containsNumber="1" minValue="0" maxValue="13.22"/>
    </cacheField>
    <cacheField name="BV ABR" numFmtId="0">
      <sharedItems containsString="0" containsBlank="1" containsNumber="1" minValue="0" maxValue="1"/>
    </cacheField>
    <cacheField name="CNX ABR" numFmtId="0">
      <sharedItems containsString="0" containsBlank="1" containsNumber="1" minValue="0" maxValue="1"/>
    </cacheField>
    <cacheField name="CSH ABR" numFmtId="0">
      <sharedItems containsBlank="1" containsMixedTypes="1" containsNumber="1" minValue="0" maxValue="1"/>
    </cacheField>
    <cacheField name="TUR ABR" numFmtId="0">
      <sharedItems containsString="0" containsBlank="1" containsNumber="1" minValue="0" maxValue="1"/>
    </cacheField>
    <cacheField name="TBG MAY" numFmtId="0">
      <sharedItems containsString="0" containsBlank="1" containsNumber="1" minValue="0" maxValue="15.5"/>
    </cacheField>
    <cacheField name="BV MAY" numFmtId="0">
      <sharedItems containsString="0" containsBlank="1" containsNumber="1" minValue="0" maxValue="1"/>
    </cacheField>
    <cacheField name="CNX MAY" numFmtId="0">
      <sharedItems containsString="0" containsBlank="1" containsNumber="1" minValue="0" maxValue="1"/>
    </cacheField>
    <cacheField name="CSH MAY" numFmtId="0">
      <sharedItems containsString="0" containsBlank="1" containsNumber="1" minValue="0" maxValue="1"/>
    </cacheField>
    <cacheField name="TUR MAY" numFmtId="0">
      <sharedItems containsNonDate="0" containsString="0" containsBlank="1"/>
    </cacheField>
    <cacheField name="TBG JUN" numFmtId="0">
      <sharedItems containsString="0" containsBlank="1" containsNumber="1" minValue="0" maxValue="15.33"/>
    </cacheField>
    <cacheField name="BV JUN" numFmtId="0">
      <sharedItems containsString="0" containsBlank="1" containsNumber="1" minValue="0" maxValue="1"/>
    </cacheField>
    <cacheField name="CNX JUN" numFmtId="0">
      <sharedItems containsString="0" containsBlank="1" containsNumber="1" minValue="0" maxValue="1"/>
    </cacheField>
    <cacheField name="CSH JUN" numFmtId="0">
      <sharedItems containsString="0" containsBlank="1" containsNumber="1" minValue="0" maxValue="1"/>
    </cacheField>
    <cacheField name="TUR JUN" numFmtId="0">
      <sharedItems containsNonDate="0" containsString="0" containsBlank="1"/>
    </cacheField>
    <cacheField name="TBG JUL" numFmtId="0">
      <sharedItems containsString="0" containsBlank="1" containsNumber="1" minValue="0" maxValue="15.32"/>
    </cacheField>
    <cacheField name="BV JUL" numFmtId="0">
      <sharedItems containsString="0" containsBlank="1" containsNumber="1" minValue="0" maxValue="1"/>
    </cacheField>
    <cacheField name="CNX JUL" numFmtId="0">
      <sharedItems containsString="0" containsBlank="1" containsNumber="1" minValue="0" maxValue="1"/>
    </cacheField>
    <cacheField name="CSH JUL" numFmtId="0">
      <sharedItems containsString="0" containsBlank="1" containsNumber="1" minValue="0" maxValue="1"/>
    </cacheField>
    <cacheField name="TUR JUL" numFmtId="0">
      <sharedItems containsNonDate="0" containsString="0" containsBlank="1"/>
    </cacheField>
    <cacheField name="TBG AGO" numFmtId="0">
      <sharedItems containsString="0" containsBlank="1" containsNumber="1" minValue="0" maxValue="16.75"/>
    </cacheField>
    <cacheField name="BV AGO" numFmtId="0">
      <sharedItems containsString="0" containsBlank="1" containsNumber="1" minValue="0" maxValue="189.28"/>
    </cacheField>
    <cacheField name="CNX AGO" numFmtId="0">
      <sharedItems containsString="0" containsBlank="1" containsNumber="1" minValue="0" maxValue="1"/>
    </cacheField>
    <cacheField name="CSH AGO" numFmtId="0">
      <sharedItems containsString="0" containsBlank="1" containsNumber="1" minValue="0" maxValue="1"/>
    </cacheField>
    <cacheField name="TUR AGO" numFmtId="0">
      <sharedItems containsNonDate="0" containsString="0" containsBlank="1"/>
    </cacheField>
    <cacheField name="TBG SEP" numFmtId="0">
      <sharedItems containsString="0" containsBlank="1" containsNumber="1" minValue="0" maxValue="16.739999999999998"/>
    </cacheField>
    <cacheField name="BV SEP" numFmtId="0">
      <sharedItems containsString="0" containsBlank="1" containsNumber="1" minValue="0" maxValue="164"/>
    </cacheField>
    <cacheField name="CNX SEP" numFmtId="0">
      <sharedItems containsBlank="1" containsMixedTypes="1" containsNumber="1" minValue="0" maxValue="1"/>
    </cacheField>
    <cacheField name="CSH SEP" numFmtId="0">
      <sharedItems containsString="0" containsBlank="1" containsNumber="1" minValue="0" maxValue="1"/>
    </cacheField>
    <cacheField name="TUR SEP" numFmtId="0">
      <sharedItems containsNonDate="0" containsString="0" containsBlank="1"/>
    </cacheField>
    <cacheField name="TBG OCT" numFmtId="0">
      <sharedItems containsString="0" containsBlank="1" containsNumber="1" minValue="0" maxValue="16.75"/>
    </cacheField>
    <cacheField name="BV OCT" numFmtId="0">
      <sharedItems containsBlank="1" containsMixedTypes="1" containsNumber="1" minValue="0" maxValue="164"/>
    </cacheField>
    <cacheField name="CNX OCT" numFmtId="0">
      <sharedItems containsString="0" containsBlank="1" containsNumber="1" minValue="0" maxValue="1"/>
    </cacheField>
    <cacheField name="CSH OCT" numFmtId="0">
      <sharedItems containsString="0" containsBlank="1" containsNumber="1" minValue="0" maxValue="1"/>
    </cacheField>
    <cacheField name="TUR OCT" numFmtId="9">
      <sharedItems containsNonDate="0" containsString="0" containsBlank="1"/>
    </cacheField>
    <cacheField name="TBG NOV" numFmtId="0">
      <sharedItems containsString="0" containsBlank="1" containsNumber="1" minValue="0" maxValue="16.75"/>
    </cacheField>
    <cacheField name="BV NOV" numFmtId="0">
      <sharedItems containsString="0" containsBlank="1" containsNumber="1" minValue="0" maxValue="164"/>
    </cacheField>
    <cacheField name="CNX NOV" numFmtId="0">
      <sharedItems containsString="0" containsBlank="1" containsNumber="1" minValue="0" maxValue="1"/>
    </cacheField>
    <cacheField name="CSH NOV" numFmtId="0">
      <sharedItems containsString="0" containsBlank="1" containsNumber="1" minValue="0" maxValue="1"/>
    </cacheField>
    <cacheField name="TUR NOV" numFmtId="0">
      <sharedItems containsNonDate="0" containsString="0" containsBlank="1"/>
    </cacheField>
    <cacheField name="TBG DIC" numFmtId="0">
      <sharedItems containsNonDate="0" containsString="0" containsBlank="1"/>
    </cacheField>
    <cacheField name="BV DIC" numFmtId="0">
      <sharedItems containsNonDate="0" containsString="0" containsBlank="1"/>
    </cacheField>
    <cacheField name="CNX DIC" numFmtId="0">
      <sharedItems containsNonDate="0" containsString="0" containsBlank="1"/>
    </cacheField>
    <cacheField name="CSH DIC" numFmtId="0">
      <sharedItems containsNonDate="0" containsString="0" containsBlank="1"/>
    </cacheField>
    <cacheField name="TUR DIC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SEGURIDAD INDUSTRIAL"/>
    <x v="0"/>
    <s v="IF"/>
    <s v="(#de incidentes LTI x 200000) / (# de horas hombre reales trabajadas)"/>
    <s v="&lt; 1.27"/>
    <s v="&lt; 0,94"/>
    <s v="Mensual_x000a_(Acumulado)"/>
    <n v="0"/>
    <n v="0"/>
    <n v="0"/>
    <n v="0"/>
    <n v="0"/>
    <n v="0"/>
    <n v="0"/>
    <n v="0"/>
    <n v="0"/>
    <n v="0"/>
    <n v="0.45"/>
    <n v="0"/>
    <n v="0"/>
    <n v="0"/>
    <n v="0"/>
    <n v="1.02"/>
    <n v="0"/>
    <n v="0"/>
    <n v="0"/>
    <n v="0"/>
    <n v="0.8"/>
    <n v="0"/>
    <n v="0"/>
    <n v="0"/>
    <m/>
    <n v="0.68"/>
    <n v="0"/>
    <n v="0"/>
    <n v="0"/>
    <m/>
    <n v="0.57999999999999996"/>
    <n v="0"/>
    <n v="0"/>
    <n v="0"/>
    <m/>
    <n v="0.65"/>
    <n v="1.1399999999999999"/>
    <n v="0"/>
    <n v="0"/>
    <m/>
    <n v="0.56999999999999995"/>
    <n v="0.95"/>
    <n v="0"/>
    <n v="0"/>
    <m/>
    <n v="0.50800000000000001"/>
    <n v="0.8"/>
    <n v="0"/>
    <n v="0"/>
    <m/>
    <n v="0.47"/>
    <n v="0.77"/>
    <n v="0"/>
    <n v="0"/>
    <m/>
  </r>
  <r>
    <m/>
    <x v="1"/>
    <s v="IG"/>
    <s v="(#de días perdidos x 200000) / (# de horas hombre reales trabajadas)"/>
    <m/>
    <s v="≤ 15,59"/>
    <s v="Mensual"/>
    <n v="0"/>
    <n v="0"/>
    <n v="0"/>
    <n v="0"/>
    <n v="0"/>
    <n v="0"/>
    <n v="0"/>
    <n v="0"/>
    <n v="0"/>
    <n v="0"/>
    <n v="2.2599999999999998"/>
    <n v="0"/>
    <n v="0"/>
    <n v="0"/>
    <n v="0"/>
    <n v="13.22"/>
    <n v="0"/>
    <n v="0"/>
    <n v="0"/>
    <n v="0"/>
    <n v="12.4"/>
    <n v="0"/>
    <n v="0"/>
    <n v="0"/>
    <m/>
    <n v="10.4"/>
    <n v="0"/>
    <n v="0"/>
    <n v="0"/>
    <m/>
    <n v="8.84"/>
    <n v="0"/>
    <n v="0"/>
    <n v="0"/>
    <m/>
    <n v="10.91"/>
    <n v="189.28"/>
    <n v="0"/>
    <n v="0"/>
    <m/>
    <n v="9.58"/>
    <n v="155.65"/>
    <n v="0"/>
    <n v="0"/>
    <m/>
    <n v="8.5120000000000005"/>
    <n v="131.51"/>
    <n v="0"/>
    <n v="0"/>
    <m/>
    <n v="7.79"/>
    <n v="126.21"/>
    <n v="0"/>
    <n v="0"/>
    <m/>
  </r>
  <r>
    <m/>
    <x v="2"/>
    <s v="TR"/>
    <s v="ÍnDICe de gravedad /ÍnDICe de frecuencia"/>
    <m/>
    <s v="≤ 27,4"/>
    <s v="Mensual"/>
    <n v="0"/>
    <n v="0"/>
    <n v="0"/>
    <n v="0"/>
    <n v="0"/>
    <n v="0"/>
    <n v="0"/>
    <n v="0"/>
    <n v="0"/>
    <n v="0"/>
    <n v="5"/>
    <n v="0"/>
    <n v="0"/>
    <n v="0"/>
    <n v="0"/>
    <n v="13"/>
    <n v="0"/>
    <n v="0"/>
    <n v="0"/>
    <n v="0"/>
    <n v="15.5"/>
    <n v="0"/>
    <n v="0"/>
    <n v="0"/>
    <m/>
    <n v="15.33"/>
    <n v="0"/>
    <n v="0"/>
    <n v="0"/>
    <m/>
    <n v="15.32"/>
    <n v="0"/>
    <n v="0"/>
    <n v="0"/>
    <m/>
    <n v="16.75"/>
    <n v="164"/>
    <n v="0"/>
    <n v="0"/>
    <m/>
    <n v="16.739999999999998"/>
    <n v="164"/>
    <n v="0"/>
    <n v="0"/>
    <m/>
    <n v="16.75"/>
    <n v="164"/>
    <n v="0"/>
    <n v="0"/>
    <m/>
    <n v="16.75"/>
    <n v="164"/>
    <n v="0"/>
    <n v="0"/>
    <m/>
  </r>
  <r>
    <m/>
    <x v="3"/>
    <s v="MCV"/>
    <s v="MCV= (1000000 * # de Accidentes vehiculares) / (Total de kilómetros recorridos)"/>
    <s v="≤ 1,8"/>
    <s v="≤ 0,8"/>
    <s v="Mensu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m/>
    <n v="0"/>
    <n v="0"/>
    <n v="0.54"/>
    <n v="0"/>
    <m/>
    <n v="0"/>
    <n v="0"/>
    <n v="0.48"/>
    <n v="0"/>
    <m/>
    <n v="0"/>
    <n v="0"/>
    <n v="0.42"/>
    <n v="0"/>
    <m/>
    <n v="0"/>
    <n v="0"/>
    <n v="0.36"/>
    <n v="0"/>
    <m/>
    <n v="0"/>
    <n v="0"/>
    <n v="0.32"/>
    <n v="0"/>
    <m/>
  </r>
  <r>
    <m/>
    <x v="4"/>
    <s v="TC"/>
    <s v="tarjetas realizadas/ # tarjetas planificadas (48) "/>
    <s v="(100%)_x000a_≥ 48 "/>
    <s v="(100%)_x000a_≥ 48 "/>
    <s v="Mensual"/>
    <n v="0.94"/>
    <n v="1"/>
    <n v="0.8"/>
    <s v="N/A"/>
    <n v="0"/>
    <n v="0.96"/>
    <n v="1"/>
    <n v="0.12"/>
    <s v="N/A"/>
    <n v="0"/>
    <n v="0.94"/>
    <n v="1"/>
    <n v="0.64"/>
    <s v="N/A"/>
    <n v="0"/>
    <n v="0.94"/>
    <n v="1"/>
    <n v="0.2"/>
    <s v="N/A"/>
    <n v="0"/>
    <n v="0.94"/>
    <n v="1"/>
    <n v="0.8"/>
    <n v="0.08"/>
    <m/>
    <n v="0.92"/>
    <n v="1"/>
    <n v="0.79"/>
    <n v="0.39"/>
    <m/>
    <n v="0.91"/>
    <n v="1"/>
    <n v="0.6"/>
    <n v="0.61"/>
    <m/>
    <n v="0.73"/>
    <n v="1"/>
    <n v="1"/>
    <n v="0.56000000000000005"/>
    <m/>
    <n v="0.59"/>
    <n v="1"/>
    <n v="0.32"/>
    <n v="0.6"/>
    <m/>
    <n v="0.54159999999999997"/>
    <n v="1"/>
    <n v="0.68"/>
    <n v="0.6"/>
    <m/>
    <n v="0.52"/>
    <n v="1"/>
    <n v="0.6"/>
    <n v="0.57999999999999996"/>
    <m/>
  </r>
  <r>
    <m/>
    <x v="5"/>
    <s v="CTC"/>
    <s v="((# de tarjetas cerradas)/(#. de tarjetas levantadas))*100"/>
    <s v="≥ 80 %"/>
    <s v="≥ 75 %"/>
    <s v="Mensual"/>
    <n v="0.88"/>
    <n v="0.92"/>
    <n v="0.78"/>
    <s v="N/A"/>
    <n v="0"/>
    <n v="0.9"/>
    <n v="0.84"/>
    <n v="1"/>
    <s v="N/A"/>
    <n v="0"/>
    <n v="0.89"/>
    <n v="0.8"/>
    <n v="0.91666666666666663"/>
    <s v="N/A"/>
    <n v="0"/>
    <n v="0.9"/>
    <n v="0.8"/>
    <n v="1"/>
    <s v="N/A"/>
    <n v="0"/>
    <n v="0.89"/>
    <n v="1"/>
    <n v="0.9"/>
    <n v="1"/>
    <m/>
    <n v="0.88"/>
    <n v="0.79"/>
    <n v="0.95"/>
    <n v="0.5"/>
    <m/>
    <n v="0.88"/>
    <n v="0.75"/>
    <n v="0.93"/>
    <n v="0.59"/>
    <m/>
    <n v="0.74"/>
    <n v="0.8"/>
    <n v="0.96"/>
    <n v="0.3"/>
    <m/>
    <n v="0.54"/>
    <n v="0.92"/>
    <n v="1"/>
    <n v="0.59"/>
    <m/>
    <n v="0.96150000000000002"/>
    <n v="0.9"/>
    <n v="1"/>
    <n v="0.59"/>
    <m/>
    <n v="0.9"/>
    <n v="0.94"/>
    <n v="1"/>
    <n v="0.56999999999999995"/>
    <m/>
  </r>
  <r>
    <m/>
    <x v="6"/>
    <s v="ART"/>
    <s v="# Análisis de Riesgo de Tarea (ATS) realizado  / # Análisis de Riesgo de Tarea (ATS) requerido"/>
    <s v="≥ 80 %"/>
    <s v="≥ 80 %"/>
    <s v="Mensual"/>
    <n v="1"/>
    <n v="1"/>
    <n v="1"/>
    <n v="1"/>
    <n v="1"/>
    <n v="1"/>
    <n v="1"/>
    <n v="1"/>
    <n v="0.98"/>
    <n v="1"/>
    <n v="1"/>
    <n v="1"/>
    <n v="1"/>
    <n v="0.98"/>
    <n v="1"/>
    <n v="1"/>
    <n v="1"/>
    <n v="1"/>
    <n v="0.98"/>
    <n v="0.98"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</r>
  <r>
    <m/>
    <x v="7"/>
    <s v="OPAS"/>
    <s v="# Inspecciones de trabajo realizada  / # Inspecciones de trabajo planificada"/>
    <s v="≥ 80 %"/>
    <s v="≥ 80 %"/>
    <s v="Mensual"/>
    <n v="0.98"/>
    <n v="1"/>
    <n v="1"/>
    <n v="1"/>
    <n v="1"/>
    <n v="0.98"/>
    <n v="1"/>
    <n v="1"/>
    <n v="0.98"/>
    <n v="1"/>
    <n v="0.98"/>
    <n v="1"/>
    <n v="1"/>
    <n v="0.96"/>
    <n v="1"/>
    <n v="0.98"/>
    <n v="1"/>
    <n v="1"/>
    <n v="0.97"/>
    <n v="0.99"/>
    <n v="0.98"/>
    <n v="1"/>
    <n v="1"/>
    <n v="0.96"/>
    <m/>
    <n v="0.97"/>
    <n v="1"/>
    <n v="1"/>
    <n v="0.93"/>
    <m/>
    <n v="0.97"/>
    <n v="1"/>
    <n v="1"/>
    <n v="0.93"/>
    <m/>
    <n v="0.97"/>
    <n v="1"/>
    <n v="1"/>
    <n v="0.93"/>
    <m/>
    <n v="0.97"/>
    <n v="1"/>
    <n v="1"/>
    <n v="0.94"/>
    <m/>
    <n v="0.97"/>
    <n v="1"/>
    <n v="1"/>
    <n v="0.94"/>
    <m/>
    <n v="0.98"/>
    <n v="1"/>
    <n v="1"/>
    <n v="0.94"/>
    <m/>
  </r>
  <r>
    <m/>
    <x v="8"/>
    <s v="IDPS"/>
    <s v="((# Capac. realizadas/ #Capac. programadas) / (# de pers. asistentes / #de pers. programadas))"/>
    <s v="≥ 80 %"/>
    <s v="≥ 80 %"/>
    <s v="Mensual"/>
    <n v="0.98"/>
    <n v="0.9"/>
    <n v="0.92"/>
    <n v="1"/>
    <n v="1"/>
    <n v="0.98"/>
    <n v="0.9"/>
    <n v="0.94669999999999999"/>
    <n v="1"/>
    <n v="1"/>
    <n v="0.98"/>
    <n v="0.9"/>
    <n v="0.82222222222222219"/>
    <n v="1"/>
    <n v="1"/>
    <n v="0.98"/>
    <n v="0.9"/>
    <n v="0.94699999999999995"/>
    <n v="0.99"/>
    <n v="0.98"/>
    <n v="0.98"/>
    <n v="0.9"/>
    <n v="0.90700000000000003"/>
    <n v="0.98"/>
    <m/>
    <n v="0.98"/>
    <n v="0.9"/>
    <n v="0.93300000000000005"/>
    <n v="0.97"/>
    <m/>
    <n v="0.98"/>
    <n v="0.91"/>
    <n v="0.92"/>
    <n v="0.97"/>
    <m/>
    <n v="0.98"/>
    <n v="0.88"/>
    <n v="0.94699999999999995"/>
    <n v="0.97"/>
    <m/>
    <n v="0.98"/>
    <n v="0.86"/>
    <n v="0.88800000000000001"/>
    <n v="0.96"/>
    <m/>
    <n v="0.98"/>
    <n v="0.88"/>
    <n v="0.98"/>
    <n v="0.96"/>
    <m/>
    <n v="0.98"/>
    <n v="0.86"/>
    <n v="0.94299999999999995"/>
    <n v="0.96"/>
    <m/>
  </r>
  <r>
    <m/>
    <x v="9"/>
    <s v="IDS"/>
    <s v="# ConDICiones subestándar eliminadas / #ConDICiones subestándar identificadas"/>
    <s v="≥ 80 %"/>
    <s v="≥ 80 %"/>
    <s v="Mensual"/>
    <n v="0.96"/>
    <n v="1"/>
    <n v="0.91700000000000004"/>
    <n v="1"/>
    <n v="1"/>
    <n v="0.96"/>
    <n v="1"/>
    <n v="0.66600000000000004"/>
    <n v="1"/>
    <n v="1"/>
    <n v="0.95"/>
    <n v="0.8"/>
    <n v="0.9375"/>
    <n v="1"/>
    <n v="1"/>
    <n v="0.96"/>
    <n v="0.8"/>
    <n v="1"/>
    <n v="1"/>
    <n v="0.98"/>
    <n v="0.95"/>
    <n v="1"/>
    <n v="0.79"/>
    <n v="1"/>
    <m/>
    <n v="0.95"/>
    <n v="1"/>
    <n v="1"/>
    <n v="0.98"/>
    <m/>
    <n v="1"/>
    <n v="1"/>
    <n v="0.90900000000000003"/>
    <n v="0.98"/>
    <m/>
    <n v="0.98"/>
    <n v="1"/>
    <n v="1"/>
    <n v="0.98"/>
    <m/>
    <n v="0.97"/>
    <n v="1"/>
    <n v="1"/>
    <n v="0.98"/>
    <m/>
    <n v="0.97"/>
    <n v="1"/>
    <n v="1"/>
    <n v="0.98"/>
    <m/>
    <n v="0.97"/>
    <n v="1"/>
    <n v="1"/>
    <n v="0.97"/>
    <m/>
  </r>
  <r>
    <m/>
    <x v="10"/>
    <s v="IENTS"/>
    <s v="# Entrenamientos realizados / # Entrenamiento planificados"/>
    <s v="≥ 80 %"/>
    <s v="≥ 80 %"/>
    <s v="Mensual"/>
    <n v="0.96"/>
    <n v="1"/>
    <n v="0.92900000000000005"/>
    <n v="1"/>
    <n v="1"/>
    <n v="0.96"/>
    <n v="1"/>
    <n v="0.88400000000000001"/>
    <n v="0.96"/>
    <n v="1"/>
    <n v="0.96"/>
    <n v="1"/>
    <n v="0.87060000000000004"/>
    <n v="0.96"/>
    <n v="1"/>
    <n v="0.96"/>
    <n v="1"/>
    <n v="0.871"/>
    <n v="0.97"/>
    <n v="0.99"/>
    <n v="0.96"/>
    <n v="1"/>
    <n v="0.85499999999999998"/>
    <n v="0.97"/>
    <m/>
    <n v="0.96"/>
    <n v="0.8"/>
    <n v="0.82399999999999995"/>
    <n v="0.96"/>
    <m/>
    <n v="0.95"/>
    <n v="1"/>
    <n v="0.84699999999999998"/>
    <n v="0.97"/>
    <m/>
    <n v="0.96"/>
    <n v="1"/>
    <n v="0.85899999999999999"/>
    <n v="0.97"/>
    <m/>
    <n v="0.97"/>
    <n v="1"/>
    <n v="1"/>
    <n v="0.96"/>
    <m/>
    <n v="0.97"/>
    <n v="1"/>
    <n v="0.98"/>
    <n v="0.97"/>
    <m/>
    <n v="0.97"/>
    <n v="1"/>
    <n v="0.91400000000000003"/>
    <n v="0.96"/>
    <m/>
  </r>
  <r>
    <m/>
    <x v="11"/>
    <s v="OSEA "/>
    <s v="#Permisos de trabajo realizados / # Permiso de necesarios "/>
    <s v="≥ 80 %"/>
    <s v="≥ 80 %"/>
    <s v="Mensual"/>
    <n v="0.99"/>
    <n v="1"/>
    <n v="1"/>
    <n v="1"/>
    <n v="1"/>
    <n v="1"/>
    <n v="1"/>
    <n v="1"/>
    <n v="0.96"/>
    <n v="1"/>
    <n v="0.99"/>
    <n v="1"/>
    <n v="1"/>
    <n v="0.94"/>
    <n v="1"/>
    <n v="0.99"/>
    <n v="1"/>
    <n v="1"/>
    <n v="0.95"/>
    <n v="0.98"/>
    <n v="0.99"/>
    <n v="1"/>
    <n v="1"/>
    <n v="0.95"/>
    <m/>
    <n v="0.99"/>
    <n v="1"/>
    <n v="1"/>
    <n v="0.95"/>
    <m/>
    <n v="0.99"/>
    <n v="1"/>
    <n v="1"/>
    <n v="0.96"/>
    <m/>
    <n v="0.99"/>
    <n v="1"/>
    <n v="1"/>
    <n v="0.95"/>
    <m/>
    <n v="0.98"/>
    <n v="1"/>
    <n v="1"/>
    <n v="0.95"/>
    <m/>
    <n v="0.98"/>
    <n v="1"/>
    <n v="1"/>
    <n v="0.95"/>
    <m/>
    <n v="0.98"/>
    <n v="1"/>
    <n v="1"/>
    <n v="0.95"/>
    <m/>
  </r>
  <r>
    <m/>
    <x v="12"/>
    <s v="CAI"/>
    <s v="# de Actividades de Planes de acciones cerradas / # de Actividades de Planes de acciones establecidas"/>
    <s v="≥ 80 %"/>
    <s v="≥ 80 %"/>
    <s v="Mensual"/>
    <n v="0.9"/>
    <n v="1"/>
    <n v="0.83299999999999996"/>
    <n v="1"/>
    <n v="1"/>
    <n v="0.94"/>
    <n v="1"/>
    <n v="0.87509999999999999"/>
    <n v="1"/>
    <n v="1"/>
    <n v="0.95"/>
    <n v="1"/>
    <n v="1"/>
    <n v="1"/>
    <n v="1"/>
    <n v="0.94"/>
    <n v="1"/>
    <n v="1"/>
    <n v="1"/>
    <n v="0.98"/>
    <n v="0.94"/>
    <n v="1"/>
    <n v="0.92900000000000005"/>
    <n v="1"/>
    <m/>
    <n v="0.91"/>
    <n v="1"/>
    <n v="1"/>
    <n v="1"/>
    <m/>
    <n v="0.92"/>
    <n v="1"/>
    <n v="1"/>
    <n v="1"/>
    <m/>
    <n v="0.82"/>
    <n v="1"/>
    <n v="1"/>
    <n v="1"/>
    <m/>
    <n v="0.89"/>
    <n v="1"/>
    <n v="1"/>
    <n v="1"/>
    <m/>
    <n v="0.84"/>
    <n v="1"/>
    <n v="1"/>
    <n v="1"/>
    <m/>
    <n v="0.89"/>
    <n v="1"/>
    <n v="1"/>
    <n v="1"/>
    <m/>
  </r>
  <r>
    <m/>
    <x v="13"/>
    <s v="I G"/>
    <s v="((5 * ART) + (3*OPAS) + (2*IDPS) + (3*IDS) + (IENTS) + (4*OSEA) + (4*CAI)) / 22"/>
    <s v="≥ 80 %"/>
    <s v="≥ 80 %"/>
    <s v="Mensual"/>
    <n v="0.97"/>
    <n v="0.99"/>
    <n v="0.94799999999999995"/>
    <n v="1"/>
    <n v="1"/>
    <n v="0.98"/>
    <n v="0.99"/>
    <n v="0.91839999999999999"/>
    <n v="0.98"/>
    <n v="1"/>
    <n v="0.98"/>
    <n v="0.96"/>
    <n v="0.96940000000000004"/>
    <n v="0.98"/>
    <n v="1"/>
    <n v="0.98"/>
    <n v="0.96"/>
    <n v="0.98299999999999998"/>
    <n v="0.98"/>
    <n v="0.98"/>
    <n v="0.97"/>
    <n v="0.98"/>
    <n v="0.94199999999999995"/>
    <n v="0.98"/>
    <m/>
    <n v="0.97"/>
    <n v="0.98"/>
    <n v="0.98599999999999999"/>
    <n v="0.97"/>
    <m/>
    <n v="0.98"/>
    <n v="0.99"/>
    <n v="0.97299999999999998"/>
    <n v="0.97"/>
    <m/>
    <n v="0.96"/>
    <n v="0.98"/>
    <n v="0.98899999999999999"/>
    <n v="0.97"/>
    <m/>
    <n v="0.96499999999999997"/>
    <n v="0.98"/>
    <n v="0.99"/>
    <n v="0.97"/>
    <m/>
    <n v="0.96"/>
    <n v="0.98"/>
    <n v="0.998"/>
    <n v="0.97"/>
    <m/>
    <n v="0.96640000000000004"/>
    <n v="0.98"/>
    <n v="0.99099999999999999"/>
    <n v="0.96860000000000002"/>
    <m/>
  </r>
  <r>
    <s v="SALUD OCUPACIONAL"/>
    <x v="14"/>
    <s v="IEP"/>
    <s v="(#enfermedades Ocup. X 1000) / (# de trabajadores)"/>
    <s v="≤ 5"/>
    <s v="≤ 5"/>
    <s v="Trimestral"/>
    <m/>
    <m/>
    <m/>
    <m/>
    <m/>
    <m/>
    <m/>
    <m/>
    <m/>
    <m/>
    <n v="0"/>
    <n v="0"/>
    <n v="0"/>
    <n v="0"/>
    <n v="0"/>
    <m/>
    <m/>
    <m/>
    <m/>
    <m/>
    <m/>
    <m/>
    <m/>
    <m/>
    <m/>
    <n v="0"/>
    <n v="0"/>
    <n v="0"/>
    <n v="0"/>
    <m/>
    <m/>
    <m/>
    <m/>
    <m/>
    <m/>
    <m/>
    <m/>
    <m/>
    <m/>
    <m/>
    <n v="0"/>
    <n v="0"/>
    <n v="0"/>
    <n v="0"/>
    <m/>
    <m/>
    <m/>
    <m/>
    <m/>
    <m/>
    <m/>
    <m/>
    <m/>
    <m/>
    <m/>
  </r>
  <r>
    <m/>
    <x v="15"/>
    <s v="IEO"/>
    <s v="( (#exámenes Ocup.  ejecutados) / (# de trabajadores planificados) ) x  100"/>
    <s v="≥ 90%"/>
    <s v="≥ 90%"/>
    <s v="Trimestral"/>
    <m/>
    <m/>
    <m/>
    <m/>
    <n v="1"/>
    <m/>
    <m/>
    <m/>
    <m/>
    <m/>
    <n v="1"/>
    <n v="1"/>
    <n v="1"/>
    <n v="1"/>
    <n v="1"/>
    <m/>
    <m/>
    <m/>
    <m/>
    <m/>
    <m/>
    <m/>
    <m/>
    <m/>
    <m/>
    <n v="0.90910000000000002"/>
    <n v="1"/>
    <n v="1"/>
    <n v="1"/>
    <m/>
    <m/>
    <m/>
    <m/>
    <m/>
    <m/>
    <m/>
    <m/>
    <m/>
    <m/>
    <m/>
    <n v="0.98"/>
    <n v="1"/>
    <n v="1"/>
    <n v="1"/>
    <m/>
    <n v="0.9355"/>
    <m/>
    <m/>
    <m/>
    <m/>
    <m/>
    <m/>
    <m/>
    <m/>
    <m/>
  </r>
  <r>
    <m/>
    <x v="16"/>
    <s v="PVM"/>
    <s v="[(# Valoraciones méDICas realizadas/ # Valoraciones méDICas programadas)] X 100"/>
    <s v="≥ 90%"/>
    <s v="≥ 90%"/>
    <s v="Mensual"/>
    <n v="0.95250000000000001"/>
    <n v="0.9325"/>
    <n v="1"/>
    <n v="0.92500000000000004"/>
    <n v="1"/>
    <n v="0.92630000000000001"/>
    <n v="0.92"/>
    <n v="1"/>
    <n v="0.9375"/>
    <n v="1"/>
    <n v="0.95"/>
    <n v="0.96"/>
    <n v="1"/>
    <n v="1"/>
    <n v="1"/>
    <n v="1"/>
    <n v="1"/>
    <n v="1"/>
    <n v="0.9375"/>
    <n v="1"/>
    <n v="0.97629999999999995"/>
    <n v="0.96"/>
    <n v="1"/>
    <n v="1"/>
    <m/>
    <n v="0.91479999999999995"/>
    <n v="0.92"/>
    <n v="1"/>
    <n v="1"/>
    <m/>
    <n v="0.92110000000000003"/>
    <n v="1"/>
    <n v="1"/>
    <n v="0.9375"/>
    <m/>
    <n v="0.90910000000000002"/>
    <n v="1"/>
    <n v="1"/>
    <n v="1"/>
    <m/>
    <n v="1"/>
    <n v="0.92"/>
    <n v="1"/>
    <n v="0.9375"/>
    <m/>
    <n v="0.98680000000000001"/>
    <n v="0.96"/>
    <n v="1"/>
    <n v="0.9375"/>
    <m/>
    <n v="1"/>
    <n v="0.92"/>
    <n v="1"/>
    <n v="1"/>
    <m/>
  </r>
  <r>
    <m/>
    <x v="17"/>
    <m/>
    <s v="[(# Carnets de vacunas actualizadas/ # Carnets de vacunas programadas actualizar)] X 100"/>
    <m/>
    <s v="≥ 80%"/>
    <s v="Mensual"/>
    <n v="0.92749999999999999"/>
    <n v="0.95750000000000002"/>
    <n v="1"/>
    <n v="0.91"/>
    <m/>
    <n v="0.88"/>
    <n v="0.91"/>
    <n v="1"/>
    <n v="0.92859999999999998"/>
    <n v="0.97"/>
    <n v="0.91669999999999996"/>
    <n v="0.92"/>
    <n v="1"/>
    <n v="0.85709999999999997"/>
    <n v="0.98"/>
    <n v="0.84"/>
    <n v="0.81820000000000004"/>
    <n v="0.98"/>
    <n v="0.8"/>
    <n v="0.98"/>
    <n v="0.88570000000000004"/>
    <n v="0.91669999999999996"/>
    <n v="0.99"/>
    <n v="0.85709999999999997"/>
    <m/>
    <n v="1"/>
    <n v="0.90910000000000002"/>
    <n v="0.99"/>
    <n v="0.92859999999999998"/>
    <m/>
    <n v="1"/>
    <n v="0.90910000000000002"/>
    <n v="1"/>
    <n v="0.85709999999999997"/>
    <m/>
    <n v="1"/>
    <n v="0.90910000000000002"/>
    <n v="0.99"/>
    <n v="0.9"/>
    <m/>
    <n v="1"/>
    <n v="1"/>
    <s v="98/%"/>
    <n v="0.92310000000000003"/>
    <m/>
    <n v="1"/>
    <s v="91, 67%"/>
    <n v="0.99"/>
    <n v="0.92859999999999998"/>
    <m/>
    <n v="0.94"/>
    <n v="0.93330000000000002"/>
    <n v="0.99"/>
    <n v="0.86670000000000003"/>
    <m/>
  </r>
  <r>
    <m/>
    <x v="18"/>
    <s v="PCSSA"/>
    <s v="# Capacitaciones S.O.  realizados / # Capacitaciones S.O. s  planificados"/>
    <s v="≥ 80%"/>
    <s v="≥ 90%"/>
    <s v="Mensual"/>
    <n v="1"/>
    <n v="1"/>
    <n v="1"/>
    <n v="1"/>
    <n v="1"/>
    <n v="1"/>
    <n v="1"/>
    <n v="1"/>
    <n v="1"/>
    <n v="1"/>
    <n v="1"/>
    <n v="1"/>
    <n v="1"/>
    <n v="1"/>
    <n v="1"/>
    <n v="0.9"/>
    <n v="1"/>
    <n v="1"/>
    <n v="1"/>
    <n v="1"/>
    <n v="1"/>
    <n v="1"/>
    <n v="1"/>
    <n v="1"/>
    <m/>
    <n v="0.9"/>
    <n v="1"/>
    <n v="1"/>
    <n v="1"/>
    <m/>
    <n v="0.92"/>
    <n v="1"/>
    <n v="1"/>
    <n v="1"/>
    <m/>
    <n v="1"/>
    <n v="1"/>
    <n v="1"/>
    <n v="1"/>
    <m/>
    <n v="1"/>
    <n v="1"/>
    <n v="1"/>
    <n v="1"/>
    <m/>
    <n v="1"/>
    <n v="1"/>
    <n v="1"/>
    <n v="1"/>
    <m/>
    <n v="1"/>
    <n v="1"/>
    <n v="1"/>
    <n v="1"/>
    <m/>
  </r>
  <r>
    <m/>
    <x v="19"/>
    <s v="ESSO"/>
    <s v="# Entrenamientos y Simulacros  realizados / # Entrenamiento y Simulacros  planificados"/>
    <s v="≥ 90%"/>
    <s v="≥ 80%"/>
    <s v="Bimensual"/>
    <m/>
    <m/>
    <m/>
    <m/>
    <n v="1"/>
    <n v="1"/>
    <n v="1"/>
    <n v="1"/>
    <n v="1"/>
    <n v="1"/>
    <m/>
    <m/>
    <m/>
    <m/>
    <m/>
    <n v="1"/>
    <n v="1"/>
    <n v="1"/>
    <n v="1"/>
    <n v="1"/>
    <m/>
    <m/>
    <m/>
    <m/>
    <m/>
    <n v="0.85"/>
    <n v="1"/>
    <n v="1"/>
    <n v="1"/>
    <m/>
    <m/>
    <m/>
    <m/>
    <m/>
    <m/>
    <n v="0.9"/>
    <n v="1"/>
    <n v="1"/>
    <n v="1"/>
    <m/>
    <m/>
    <n v="1"/>
    <m/>
    <m/>
    <m/>
    <n v="1"/>
    <m/>
    <n v="1"/>
    <m/>
    <m/>
    <m/>
    <m/>
    <n v="1"/>
    <m/>
    <m/>
  </r>
  <r>
    <m/>
    <x v="20"/>
    <s v="IERL"/>
    <s v="[(# investigación a exposición de riesgos laborales. realizadas/ #investigación a exposición de riesgos laborales programadas)] X 100"/>
    <s v="≥ 90%"/>
    <s v="≥ 80%"/>
    <s v="Semestral"/>
    <m/>
    <m/>
    <m/>
    <m/>
    <m/>
    <m/>
    <m/>
    <m/>
    <m/>
    <m/>
    <m/>
    <m/>
    <m/>
    <m/>
    <m/>
    <m/>
    <m/>
    <m/>
    <m/>
    <m/>
    <m/>
    <m/>
    <m/>
    <m/>
    <m/>
    <n v="0.8"/>
    <n v="0.8"/>
    <n v="1"/>
    <n v="1"/>
    <m/>
    <m/>
    <m/>
    <m/>
    <m/>
    <m/>
    <m/>
    <m/>
    <m/>
    <m/>
    <m/>
    <m/>
    <m/>
    <m/>
    <m/>
    <m/>
    <m/>
    <m/>
    <m/>
    <m/>
    <m/>
    <m/>
    <m/>
    <m/>
    <m/>
    <m/>
  </r>
  <r>
    <m/>
    <x v="21"/>
    <s v="PPS"/>
    <s v="# Programas de Promoción de la Salud  realizados / # Programas de Promoción de la Salud  planificados"/>
    <s v="≥ 80%"/>
    <s v="≥ 80%"/>
    <s v="Semestral"/>
    <m/>
    <m/>
    <m/>
    <m/>
    <m/>
    <m/>
    <m/>
    <m/>
    <m/>
    <m/>
    <m/>
    <m/>
    <m/>
    <m/>
    <m/>
    <m/>
    <m/>
    <m/>
    <m/>
    <m/>
    <m/>
    <m/>
    <m/>
    <m/>
    <m/>
    <n v="0.8"/>
    <n v="0.8"/>
    <n v="1"/>
    <n v="0.8"/>
    <m/>
    <m/>
    <m/>
    <m/>
    <m/>
    <m/>
    <m/>
    <m/>
    <m/>
    <m/>
    <m/>
    <m/>
    <m/>
    <m/>
    <m/>
    <m/>
    <m/>
    <m/>
    <m/>
    <m/>
    <m/>
    <m/>
    <m/>
    <m/>
    <m/>
    <m/>
  </r>
  <r>
    <s v="MEDIO AMBIENTE"/>
    <x v="22"/>
    <s v="ICOL"/>
    <s v="ICOL=  (puntuación obtenida en cada área)/(puntuación máxima posible (100))  x 100 "/>
    <s v="≥ 95%"/>
    <s v="≥ 80%"/>
    <s v="Trimestral"/>
    <m/>
    <m/>
    <m/>
    <m/>
    <m/>
    <m/>
    <m/>
    <m/>
    <m/>
    <m/>
    <n v="0.86"/>
    <n v="0.91"/>
    <n v="0.73"/>
    <n v="0"/>
    <n v="0"/>
    <m/>
    <m/>
    <m/>
    <m/>
    <m/>
    <m/>
    <m/>
    <m/>
    <m/>
    <m/>
    <n v="0.95"/>
    <n v="1"/>
    <n v="0.95"/>
    <n v="0.96"/>
    <m/>
    <m/>
    <m/>
    <m/>
    <m/>
    <m/>
    <m/>
    <m/>
    <m/>
    <m/>
    <m/>
    <n v="0.9"/>
    <n v="1"/>
    <n v="0.88"/>
    <n v="0.94"/>
    <m/>
    <m/>
    <m/>
    <m/>
    <m/>
    <m/>
    <m/>
    <m/>
    <m/>
    <m/>
    <m/>
  </r>
  <r>
    <m/>
    <x v="23"/>
    <s v="ICFSA"/>
    <s v="%=  (# de empleados que participan en capacitaciones ambientales)/(# total de empleados en turno)  x 100"/>
    <n v="1"/>
    <n v="0.8"/>
    <s v="Trimestral"/>
    <m/>
    <m/>
    <m/>
    <m/>
    <m/>
    <m/>
    <m/>
    <m/>
    <m/>
    <m/>
    <n v="0.9"/>
    <n v="0.77"/>
    <n v="0.93"/>
    <n v="0"/>
    <n v="0"/>
    <m/>
    <m/>
    <m/>
    <m/>
    <m/>
    <m/>
    <m/>
    <m/>
    <m/>
    <m/>
    <n v="0.96"/>
    <n v="0.87"/>
    <n v="1"/>
    <n v="0.9"/>
    <m/>
    <m/>
    <m/>
    <m/>
    <m/>
    <m/>
    <m/>
    <m/>
    <m/>
    <m/>
    <m/>
    <n v="0.96"/>
    <n v="0.81"/>
    <n v="1"/>
    <n v="0.9"/>
    <m/>
    <m/>
    <m/>
    <m/>
    <m/>
    <m/>
    <m/>
    <m/>
    <m/>
    <m/>
    <m/>
  </r>
  <r>
    <m/>
    <x v="24"/>
    <s v="IRCE"/>
    <s v="% reducción ENERGÍA=  (consumo anterior-consumo actual)/(consumo anterior)  x 100"/>
    <s v="reducción del 5% anual"/>
    <s v="reducción del 5% anual ó 1,25% x trimestre"/>
    <s v="Trimestral"/>
    <m/>
    <m/>
    <m/>
    <m/>
    <m/>
    <m/>
    <m/>
    <m/>
    <m/>
    <m/>
    <n v="0.2"/>
    <n v="0"/>
    <n v="0"/>
    <n v="0"/>
    <n v="0"/>
    <m/>
    <m/>
    <m/>
    <m/>
    <m/>
    <m/>
    <m/>
    <m/>
    <m/>
    <m/>
    <n v="0.1"/>
    <n v="0"/>
    <n v="0.8"/>
    <n v="1"/>
    <m/>
    <m/>
    <m/>
    <m/>
    <m/>
    <m/>
    <m/>
    <m/>
    <m/>
    <m/>
    <m/>
    <n v="1"/>
    <n v="0.8"/>
    <n v="1"/>
    <n v="1"/>
    <m/>
    <m/>
    <m/>
    <m/>
    <m/>
    <m/>
    <m/>
    <m/>
    <m/>
    <m/>
    <m/>
  </r>
  <r>
    <m/>
    <x v="25"/>
    <s v="IRCA"/>
    <s v="% reducción agua=  (consumo anterior-consumo actual)/(consumo anterior)  x 100"/>
    <s v="reducción del 5% anual"/>
    <s v="reducción del 5% anual ó 1,25% x trimestre"/>
    <s v="Trimestral"/>
    <m/>
    <m/>
    <m/>
    <m/>
    <m/>
    <m/>
    <m/>
    <m/>
    <m/>
    <m/>
    <n v="0.2"/>
    <n v="0"/>
    <n v="0"/>
    <n v="0"/>
    <n v="0"/>
    <m/>
    <m/>
    <m/>
    <m/>
    <m/>
    <m/>
    <m/>
    <m/>
    <m/>
    <m/>
    <n v="0"/>
    <n v="0"/>
    <n v="0.8"/>
    <n v="1"/>
    <m/>
    <m/>
    <m/>
    <m/>
    <m/>
    <m/>
    <m/>
    <m/>
    <m/>
    <m/>
    <m/>
    <n v="1"/>
    <n v="1"/>
    <n v="0"/>
    <n v="1"/>
    <m/>
    <m/>
    <m/>
    <m/>
    <m/>
    <m/>
    <m/>
    <m/>
    <m/>
    <m/>
    <m/>
  </r>
  <r>
    <m/>
    <x v="26"/>
    <s v="ICRR"/>
    <s v="% reciclaje=  (residuos reciclados)/(total residuos generados)  x 100"/>
    <s v="10% en el año"/>
    <s v="10% en el año ó 2,5% x trimestre"/>
    <s v="Trimestral"/>
    <m/>
    <m/>
    <m/>
    <m/>
    <m/>
    <m/>
    <m/>
    <m/>
    <m/>
    <m/>
    <n v="0.43"/>
    <n v="1"/>
    <n v="1"/>
    <n v="0"/>
    <n v="0"/>
    <m/>
    <m/>
    <m/>
    <m/>
    <m/>
    <m/>
    <m/>
    <m/>
    <m/>
    <m/>
    <n v="0.99"/>
    <n v="1"/>
    <n v="1"/>
    <n v="1"/>
    <m/>
    <m/>
    <m/>
    <m/>
    <m/>
    <m/>
    <m/>
    <m/>
    <m/>
    <m/>
    <m/>
    <n v="1"/>
    <n v="1"/>
    <n v="1"/>
    <n v="1"/>
    <m/>
    <m/>
    <m/>
    <m/>
    <m/>
    <m/>
    <m/>
    <m/>
    <m/>
    <m/>
    <m/>
  </r>
  <r>
    <m/>
    <x v="27"/>
    <s v="ICPMON"/>
    <s v="% Cumplimiento al Plan de Monitoreo =  (# monitoreos ejecutados )/(# monitoreos planificados)  x 100"/>
    <n v="1"/>
    <n v="1"/>
    <s v="Trimestral"/>
    <m/>
    <m/>
    <m/>
    <m/>
    <m/>
    <m/>
    <m/>
    <m/>
    <m/>
    <m/>
    <n v="1"/>
    <n v="1"/>
    <n v="1"/>
    <n v="0"/>
    <n v="0"/>
    <m/>
    <m/>
    <m/>
    <m/>
    <m/>
    <m/>
    <m/>
    <m/>
    <m/>
    <m/>
    <n v="1"/>
    <n v="1"/>
    <n v="1"/>
    <n v="0.6"/>
    <m/>
    <m/>
    <m/>
    <m/>
    <m/>
    <m/>
    <m/>
    <m/>
    <m/>
    <m/>
    <m/>
    <n v="1"/>
    <n v="1"/>
    <n v="1"/>
    <n v="0.6"/>
    <m/>
    <m/>
    <m/>
    <m/>
    <m/>
    <m/>
    <m/>
    <m/>
    <m/>
    <m/>
    <m/>
  </r>
  <r>
    <m/>
    <x v="28"/>
    <s v="ICLMPG"/>
    <s v="% cumplimiento=  (# de monitoreo de fuentes dentro de LMP)/(# total de fuentes fijas de combustión monitoreadas)  x 100"/>
    <n v="1"/>
    <n v="1"/>
    <s v="Trimestral"/>
    <m/>
    <m/>
    <m/>
    <m/>
    <m/>
    <m/>
    <m/>
    <m/>
    <m/>
    <m/>
    <n v="1"/>
    <n v="1"/>
    <m/>
    <m/>
    <m/>
    <m/>
    <m/>
    <m/>
    <m/>
    <m/>
    <m/>
    <m/>
    <m/>
    <m/>
    <m/>
    <n v="0.97"/>
    <n v="1"/>
    <m/>
    <m/>
    <m/>
    <m/>
    <m/>
    <m/>
    <m/>
    <m/>
    <m/>
    <m/>
    <m/>
    <m/>
    <m/>
    <n v="1"/>
    <n v="1"/>
    <m/>
    <m/>
    <m/>
    <m/>
    <m/>
    <m/>
    <m/>
    <m/>
    <m/>
    <m/>
    <m/>
    <m/>
    <m/>
  </r>
  <r>
    <m/>
    <x v="29"/>
    <s v="ICLMPA"/>
    <s v="% cumplimiento=  (# de monitoreo de aguas dentro de LMP)/(# total de monitoreos ejecutados)  x 100"/>
    <n v="1"/>
    <n v="1"/>
    <s v="Trimestral"/>
    <m/>
    <m/>
    <m/>
    <m/>
    <m/>
    <m/>
    <m/>
    <m/>
    <m/>
    <m/>
    <n v="1"/>
    <m/>
    <n v="1"/>
    <n v="0"/>
    <n v="0"/>
    <m/>
    <m/>
    <m/>
    <m/>
    <m/>
    <m/>
    <m/>
    <m/>
    <m/>
    <m/>
    <n v="0.99"/>
    <m/>
    <n v="1"/>
    <n v="0"/>
    <m/>
    <m/>
    <m/>
    <m/>
    <m/>
    <m/>
    <m/>
    <m/>
    <m/>
    <m/>
    <m/>
    <n v="1"/>
    <m/>
    <n v="1"/>
    <n v="0"/>
    <m/>
    <m/>
    <m/>
    <m/>
    <m/>
    <m/>
    <m/>
    <m/>
    <m/>
    <m/>
    <m/>
  </r>
  <r>
    <m/>
    <x v="30"/>
    <s v="ICPMA"/>
    <s v="% cumplimiento PMA=  (# de acciones que si cumplen)/(# total de acciones )  x 100"/>
    <n v="1"/>
    <n v="1"/>
    <s v="Trimestral"/>
    <m/>
    <m/>
    <m/>
    <m/>
    <m/>
    <m/>
    <m/>
    <m/>
    <m/>
    <m/>
    <n v="0.97"/>
    <n v="0.88"/>
    <n v="0.97"/>
    <n v="0"/>
    <n v="0"/>
    <m/>
    <m/>
    <m/>
    <m/>
    <m/>
    <m/>
    <m/>
    <m/>
    <m/>
    <m/>
    <n v="0.95"/>
    <n v="1"/>
    <n v="1"/>
    <n v="0"/>
    <m/>
    <m/>
    <m/>
    <m/>
    <m/>
    <m/>
    <m/>
    <m/>
    <m/>
    <m/>
    <m/>
    <n v="0.96"/>
    <n v="1"/>
    <n v="0.96"/>
    <n v="0"/>
    <m/>
    <m/>
    <m/>
    <m/>
    <m/>
    <m/>
    <m/>
    <m/>
    <m/>
    <m/>
    <m/>
  </r>
  <r>
    <m/>
    <x v="31"/>
    <s v="ICAC"/>
    <s v="% acciones correctivas=  (# acciones correctivas implementadas a tiempo)/(# total de acciones correctivas)  x 100"/>
    <s v="≥95%"/>
    <s v="≥80%"/>
    <s v="Trimestral"/>
    <m/>
    <m/>
    <m/>
    <m/>
    <m/>
    <m/>
    <m/>
    <m/>
    <m/>
    <m/>
    <n v="0.54"/>
    <n v="0.9"/>
    <n v="1"/>
    <n v="0"/>
    <n v="0"/>
    <m/>
    <m/>
    <m/>
    <m/>
    <m/>
    <m/>
    <m/>
    <m/>
    <m/>
    <m/>
    <n v="0.64"/>
    <n v="1"/>
    <n v="0.95"/>
    <n v="0.45"/>
    <m/>
    <m/>
    <m/>
    <m/>
    <m/>
    <m/>
    <m/>
    <m/>
    <m/>
    <m/>
    <m/>
    <n v="0.71"/>
    <n v="1"/>
    <n v="1"/>
    <n v="0.45"/>
    <m/>
    <m/>
    <m/>
    <m/>
    <m/>
    <m/>
    <m/>
    <m/>
    <m/>
    <m/>
    <m/>
  </r>
  <r>
    <m/>
    <x v="32"/>
    <s v="IGPQLBIO"/>
    <s v="% sustitución=  (# de Productos Químico biodegradables)/(# total de productos químicos de limpieza utilizados)  x 100"/>
    <n v="0.5"/>
    <n v="0.25"/>
    <s v="Trimestral"/>
    <m/>
    <m/>
    <m/>
    <m/>
    <m/>
    <m/>
    <m/>
    <m/>
    <m/>
    <m/>
    <n v="0"/>
    <m/>
    <n v="1"/>
    <n v="0"/>
    <n v="0"/>
    <m/>
    <m/>
    <m/>
    <m/>
    <m/>
    <m/>
    <m/>
    <m/>
    <m/>
    <m/>
    <n v="0.1"/>
    <m/>
    <n v="0.84"/>
    <n v="0"/>
    <m/>
    <m/>
    <m/>
    <m/>
    <m/>
    <m/>
    <m/>
    <m/>
    <m/>
    <m/>
    <m/>
    <n v="0.18"/>
    <m/>
    <n v="1"/>
    <n v="0"/>
    <m/>
    <m/>
    <m/>
    <m/>
    <m/>
    <m/>
    <m/>
    <m/>
    <m/>
    <m/>
    <m/>
  </r>
  <r>
    <m/>
    <x v="33"/>
    <s v="IER"/>
    <s v="% de energiás renovables=  (cantidad de energía reOCTable generada)/(cantidad total de energía de la empresa)  x 100"/>
    <s v="5% en el año"/>
    <s v="5% en el año ó 1,25% x trimestre"/>
    <s v="Trimestral"/>
    <m/>
    <m/>
    <m/>
    <m/>
    <m/>
    <m/>
    <m/>
    <m/>
    <m/>
    <m/>
    <n v="0"/>
    <n v="0"/>
    <n v="0"/>
    <n v="0"/>
    <n v="0"/>
    <m/>
    <m/>
    <m/>
    <m/>
    <m/>
    <m/>
    <m/>
    <m/>
    <m/>
    <m/>
    <n v="0"/>
    <n v="0"/>
    <n v="0"/>
    <n v="0"/>
    <m/>
    <m/>
    <m/>
    <m/>
    <m/>
    <m/>
    <m/>
    <m/>
    <m/>
    <m/>
    <m/>
    <n v="0"/>
    <n v="0"/>
    <n v="0"/>
    <n v="0"/>
    <m/>
    <m/>
    <m/>
    <m/>
    <m/>
    <m/>
    <m/>
    <m/>
    <m/>
    <m/>
    <m/>
  </r>
  <r>
    <m/>
    <x v="34"/>
    <s v="ITECA"/>
    <s v="% tecnologías BI=  (# de tecnologías implementadas de bajo impacto)/(# total de tecnologías planificadas)  x 100"/>
    <s v="2 tecnologías en el año"/>
    <s v="1 tecnologías en el año"/>
    <s v="Trimestral"/>
    <m/>
    <m/>
    <m/>
    <m/>
    <m/>
    <m/>
    <m/>
    <m/>
    <m/>
    <m/>
    <n v="0"/>
    <n v="1"/>
    <n v="0"/>
    <n v="0"/>
    <n v="0"/>
    <m/>
    <m/>
    <m/>
    <m/>
    <m/>
    <m/>
    <m/>
    <m/>
    <m/>
    <m/>
    <n v="0"/>
    <n v="1"/>
    <n v="1"/>
    <n v="0"/>
    <m/>
    <m/>
    <m/>
    <m/>
    <m/>
    <m/>
    <m/>
    <m/>
    <m/>
    <m/>
    <m/>
    <n v="1"/>
    <n v="1"/>
    <n v="0"/>
    <n v="0"/>
    <m/>
    <m/>
    <m/>
    <m/>
    <m/>
    <m/>
    <m/>
    <m/>
    <m/>
    <m/>
    <m/>
  </r>
  <r>
    <m/>
    <x v="35"/>
    <s v="ITTA"/>
    <s v="% de empleados=  (# de empleados que asisten a un taller ambiental)/(# total de empleados )  x 100"/>
    <s v="≥90%"/>
    <s v="≥80%"/>
    <s v="Trimestral"/>
    <m/>
    <m/>
    <m/>
    <m/>
    <m/>
    <m/>
    <m/>
    <m/>
    <m/>
    <m/>
    <n v="0.54"/>
    <n v="0.91"/>
    <n v="1"/>
    <n v="0"/>
    <n v="0"/>
    <m/>
    <m/>
    <m/>
    <m/>
    <m/>
    <m/>
    <m/>
    <m/>
    <m/>
    <m/>
    <n v="0.56999999999999995"/>
    <n v="0.91"/>
    <n v="1"/>
    <n v="0.54"/>
    <m/>
    <m/>
    <m/>
    <m/>
    <m/>
    <m/>
    <m/>
    <m/>
    <m/>
    <m/>
    <m/>
    <n v="0.56000000000000005"/>
    <n v="0.82"/>
    <n v="1"/>
    <n v="0.55000000000000004"/>
    <m/>
    <m/>
    <m/>
    <m/>
    <m/>
    <m/>
    <m/>
    <m/>
    <m/>
    <m/>
    <m/>
  </r>
  <r>
    <m/>
    <x v="36"/>
    <s v="IDJUL"/>
    <s v="(ICOL*10%)  + (ICFSA*5%) + (IRCE*2,5%) + (IRCA*2,5%)+ (ICRR*5%) + (ICPMON*5%) + (ICLMPG*10%) + (ICLMPA*10%) + (ICPMA*20%) + (ICAC*10%) + (IGPQLBIO*5%) + (IER*5%) + (ITECA*5%) + (ITTA*5%)"/>
    <m/>
    <s v="≥80%"/>
    <s v="Trimestral"/>
    <m/>
    <m/>
    <m/>
    <m/>
    <m/>
    <m/>
    <m/>
    <m/>
    <m/>
    <m/>
    <n v="0.67"/>
    <n v="0.69"/>
    <n v="0.71"/>
    <n v="0"/>
    <n v="0"/>
    <m/>
    <m/>
    <m/>
    <m/>
    <m/>
    <m/>
    <m/>
    <m/>
    <m/>
    <m/>
    <n v="0.71"/>
    <n v="0.74"/>
    <n v="0.82"/>
    <n v="0.34"/>
    <m/>
    <m/>
    <m/>
    <m/>
    <m/>
    <m/>
    <m/>
    <m/>
    <m/>
    <m/>
    <m/>
    <n v="0.84"/>
    <n v="0.78"/>
    <n v="0.76"/>
    <n v="0.34"/>
    <m/>
    <m/>
    <m/>
    <m/>
    <m/>
    <m/>
    <m/>
    <m/>
    <m/>
    <m/>
    <m/>
  </r>
  <r>
    <s v="RELACIONES COMUNITARIAS_x000a_RRCC"/>
    <x v="37"/>
    <s v="ICMOL_x000a_BV-TBG"/>
    <s v="[(# de personal local contratado/ # total de personal contratado)] X 100"/>
    <s v="≥ 70%"/>
    <s v="≥ 7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0.8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</r>
  <r>
    <m/>
    <x v="38"/>
    <s v="ICMOL PEC"/>
    <s v="[(# de personal local contratado/ # total de personal contratado)] X 101"/>
    <s v="≥ 70%"/>
    <s v="≥ 70%"/>
    <s v="Mensual"/>
    <m/>
    <n v="0.7"/>
    <m/>
    <m/>
    <m/>
    <m/>
    <n v="0.7"/>
    <m/>
    <m/>
    <m/>
    <m/>
    <n v="0.8"/>
    <m/>
    <m/>
    <m/>
    <m/>
    <n v="0.8"/>
    <m/>
    <m/>
    <m/>
    <m/>
    <n v="0.8"/>
    <m/>
    <m/>
    <m/>
    <m/>
    <n v="0.65"/>
    <m/>
    <m/>
    <m/>
    <m/>
    <n v="0.8"/>
    <m/>
    <m/>
    <m/>
    <m/>
    <n v="0.8"/>
    <m/>
    <m/>
    <m/>
    <m/>
    <n v="0.8"/>
    <m/>
    <m/>
    <m/>
    <m/>
    <n v="0.8"/>
    <m/>
    <m/>
    <m/>
    <m/>
    <n v="0.8"/>
    <m/>
    <m/>
    <m/>
  </r>
  <r>
    <m/>
    <x v="39"/>
    <s v="ICSL"/>
    <s v="[(# de servicios locales contratados/ # total de servicios contratados)] X 100"/>
    <s v="≥ 70%"/>
    <s v="≥ 7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</r>
  <r>
    <m/>
    <x v="40"/>
    <s v="IIRPC"/>
    <s v="[(# de Inducciones realizadas/ # total de Inducciones solicitadas)] X 100"/>
    <s v="≥ 90%"/>
    <s v="≥ 9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</r>
  <r>
    <m/>
    <x v="41"/>
    <s v="IGCS"/>
    <s v="[(# de Conflictos sociales resueltos/ # total de Conflictos sociales presentados)] X 100"/>
    <s v="≥ 90%"/>
    <s v="≥ 90%"/>
    <s v="Trimestral"/>
    <m/>
    <m/>
    <m/>
    <m/>
    <m/>
    <m/>
    <n v="1"/>
    <m/>
    <m/>
    <m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</r>
  <r>
    <m/>
    <x v="42"/>
    <s v="ICSR"/>
    <s v="[(# de caracterizaciones sociales realizadas/ # total de caracterizaciones sociales requeridas)] X 100"/>
    <s v="≥ 90%"/>
    <s v="≥ 90%"/>
    <s v="Semestral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s v="QA / QC_x000a_OPERACIONES VINITA"/>
    <x v="43"/>
    <s v="IIB"/>
    <s v="#de ítems &quot;B&quot; cerrados (IBC) / # total de ítems &quot;B&quot; levantados (TIB)"/>
    <s v="≥ 30%"/>
    <s v="≥ 30%"/>
    <s v="Mensual"/>
    <m/>
    <n v="1"/>
    <m/>
    <m/>
    <m/>
    <m/>
    <n v="0.52"/>
    <m/>
    <m/>
    <m/>
    <m/>
    <n v="0.84"/>
    <m/>
    <m/>
    <m/>
    <m/>
    <n v="0.92"/>
    <m/>
    <m/>
    <m/>
    <m/>
    <n v="0.92"/>
    <m/>
    <m/>
    <m/>
    <m/>
    <n v="0.92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4"/>
    <s v="IPNC"/>
    <s v="#de PNCs Levantados(NCL) / # de desviaciones observadas (DO)"/>
    <s v="≥ 10%"/>
    <s v="≥ 1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5"/>
    <s v="IDP&amp;C"/>
    <s v="# Dossiers Aprobados de PRF&amp;CPI (IDP)  / # Dossiers Totales de PRF&amp;CPI(DTP)"/>
    <s v="≥ 50%"/>
    <s v="≥ 50%"/>
    <s v="Mensual"/>
    <m/>
    <n v="0.7"/>
    <m/>
    <m/>
    <m/>
    <m/>
    <n v="0.75"/>
    <m/>
    <m/>
    <m/>
    <m/>
    <n v="0.8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6"/>
    <s v="IDES"/>
    <s v="# Dossiers Aprobados de Equipos de Superficie (IDES)  / # Dossiers Totales de Equipos de Superficie(DTES)"/>
    <s v="≥ 50%"/>
    <s v="≥ 50%"/>
    <s v="Mensual"/>
    <m/>
    <n v="1"/>
    <m/>
    <m/>
    <m/>
    <m/>
    <n v="0.75"/>
    <m/>
    <m/>
    <m/>
    <m/>
    <n v="0.8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7"/>
    <s v="IEL"/>
    <s v="# Liberaciones Realizadas a tiempo (LR)/ Total de equipos &amp;Herramientas requeridas por pozo (TL)"/>
    <s v="≥ 80%"/>
    <s v="≥ 8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s v="QA / QC_x000a_BASE COCA"/>
    <x v="48"/>
    <s v="IVH"/>
    <s v="# de PNC´s levantadas (NCL)  / # desviaciones observadas (DO)"/>
    <s v="≤ 25%"/>
    <s v="≥ 1"/>
    <s v="Mensual por punch list"/>
    <n v="1"/>
    <m/>
    <m/>
    <m/>
    <m/>
    <n v="2"/>
    <m/>
    <m/>
    <m/>
    <m/>
    <n v="1"/>
    <m/>
    <m/>
    <m/>
    <m/>
    <n v="0.01"/>
    <m/>
    <m/>
    <m/>
    <m/>
    <n v="0"/>
    <m/>
    <m/>
    <m/>
    <m/>
    <n v="0.01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9"/>
    <s v="IVH"/>
    <s v="# Inspecciones Vencidas (IV)  / # Inspecciones Totales de Herramientas (ITH)"/>
    <s v="≤ 25%"/>
    <s v="≤ 25%"/>
    <s v="Mensual"/>
    <n v="9.5799999999999996E-2"/>
    <m/>
    <m/>
    <m/>
    <m/>
    <n v="0.13739999999999999"/>
    <m/>
    <m/>
    <m/>
    <m/>
    <n v="0.1101"/>
    <m/>
    <m/>
    <m/>
    <m/>
    <n v="0.1191"/>
    <m/>
    <m/>
    <m/>
    <m/>
    <n v="0.1426"/>
    <m/>
    <m/>
    <m/>
    <m/>
    <n v="0.1017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50"/>
    <s v="IVDP"/>
    <s v="# Inspecciones Vencidas (IVDP)  / # Inspecciones Totales de Sartas (ITS)"/>
    <s v="≤ 30%"/>
    <s v="≤ 30%"/>
    <s v="Mensual"/>
    <n v="0"/>
    <m/>
    <m/>
    <m/>
    <m/>
    <n v="0.1429"/>
    <m/>
    <m/>
    <m/>
    <m/>
    <n v="0.28570000000000001"/>
    <m/>
    <m/>
    <m/>
    <m/>
    <n v="0.25"/>
    <m/>
    <m/>
    <m/>
    <m/>
    <n v="0.125"/>
    <m/>
    <m/>
    <m/>
    <m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SEGURIDAD INDUSTRIAL"/>
    <x v="0"/>
    <s v="IF"/>
    <s v="(#de incidentes LTI x 200000) / (# de horas hombre reales trabajadas)"/>
    <s v="&lt; 1.27"/>
    <s v="&lt; 0,94"/>
    <s v="Mensual_x000a_(Acumulado)"/>
    <n v="0"/>
    <n v="0"/>
    <n v="0"/>
    <n v="0"/>
    <n v="0"/>
    <n v="0"/>
    <n v="0"/>
    <n v="0"/>
    <n v="0"/>
    <n v="0"/>
    <n v="0.45"/>
    <n v="0"/>
    <n v="0"/>
    <n v="0"/>
    <n v="0"/>
    <n v="1.02"/>
    <n v="0"/>
    <n v="0"/>
    <n v="0"/>
    <n v="0"/>
    <n v="0.8"/>
    <n v="0"/>
    <n v="0"/>
    <n v="0"/>
    <m/>
    <n v="0.68"/>
    <n v="0"/>
    <n v="0"/>
    <n v="0"/>
    <m/>
    <n v="0.57999999999999996"/>
    <n v="0"/>
    <n v="0"/>
    <n v="0"/>
    <m/>
    <n v="0.65"/>
    <n v="1.1399999999999999"/>
    <n v="0"/>
    <n v="0"/>
    <m/>
    <n v="0.56999999999999995"/>
    <n v="0.95"/>
    <n v="0"/>
    <n v="0"/>
    <m/>
    <n v="0.50800000000000001"/>
    <n v="0.8"/>
    <n v="0"/>
    <n v="0"/>
    <m/>
    <n v="0.47"/>
    <n v="0.77"/>
    <n v="0"/>
    <n v="0"/>
    <m/>
    <m/>
    <m/>
    <m/>
    <m/>
    <m/>
  </r>
  <r>
    <m/>
    <x v="1"/>
    <s v="IG"/>
    <s v="(#de días perdidos x 200000) / (# de horas hombre reales trabajadas)"/>
    <m/>
    <s v="≤ 15,59"/>
    <s v="Mensual"/>
    <n v="0"/>
    <n v="0"/>
    <n v="0"/>
    <n v="0"/>
    <n v="0"/>
    <n v="0"/>
    <n v="0"/>
    <n v="0"/>
    <n v="0"/>
    <n v="0"/>
    <n v="2.2599999999999998"/>
    <n v="0"/>
    <n v="0"/>
    <n v="0"/>
    <n v="0"/>
    <n v="13.22"/>
    <n v="0"/>
    <n v="0"/>
    <n v="0"/>
    <n v="0"/>
    <n v="12.4"/>
    <n v="0"/>
    <n v="0"/>
    <n v="0"/>
    <m/>
    <n v="10.4"/>
    <n v="0"/>
    <n v="0"/>
    <n v="0"/>
    <m/>
    <n v="8.84"/>
    <n v="0"/>
    <n v="0"/>
    <n v="0"/>
    <m/>
    <n v="10.91"/>
    <n v="189.28"/>
    <n v="0"/>
    <n v="0"/>
    <m/>
    <n v="9.58"/>
    <n v="155.65"/>
    <n v="0"/>
    <n v="0"/>
    <m/>
    <n v="8.5120000000000005"/>
    <n v="131.51"/>
    <n v="0"/>
    <n v="0"/>
    <m/>
    <n v="7.79"/>
    <n v="126.21"/>
    <n v="0"/>
    <n v="0"/>
    <m/>
    <m/>
    <m/>
    <m/>
    <m/>
    <m/>
  </r>
  <r>
    <m/>
    <x v="2"/>
    <s v="TR"/>
    <s v="ÍnDICe de gravedad /ÍnDICe de frecuencia"/>
    <m/>
    <s v="≤ 27,4"/>
    <s v="Mensual"/>
    <n v="0"/>
    <n v="0"/>
    <n v="0"/>
    <n v="0"/>
    <n v="0"/>
    <n v="0"/>
    <n v="0"/>
    <n v="0"/>
    <n v="0"/>
    <n v="0"/>
    <n v="5"/>
    <n v="0"/>
    <n v="0"/>
    <n v="0"/>
    <n v="0"/>
    <n v="13"/>
    <n v="0"/>
    <n v="0"/>
    <n v="0"/>
    <n v="0"/>
    <n v="15.5"/>
    <n v="0"/>
    <n v="0"/>
    <n v="0"/>
    <m/>
    <n v="15.33"/>
    <n v="0"/>
    <n v="0"/>
    <n v="0"/>
    <m/>
    <n v="15.32"/>
    <n v="0"/>
    <n v="0"/>
    <n v="0"/>
    <m/>
    <n v="16.75"/>
    <n v="164"/>
    <n v="0"/>
    <n v="0"/>
    <m/>
    <n v="16.739999999999998"/>
    <n v="164"/>
    <n v="0"/>
    <n v="0"/>
    <m/>
    <n v="16.75"/>
    <n v="164"/>
    <n v="0"/>
    <n v="0"/>
    <m/>
    <n v="16.75"/>
    <n v="164"/>
    <n v="0"/>
    <n v="0"/>
    <m/>
    <m/>
    <m/>
    <m/>
    <m/>
    <m/>
  </r>
  <r>
    <m/>
    <x v="3"/>
    <s v="MCV"/>
    <s v="MCV= (1000000 * # de Accidentes vehiculares) / (Total de kilómetros recorridos)"/>
    <s v="≤ 1,8"/>
    <s v="≤ 0,8"/>
    <s v="Mensu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m/>
    <n v="0"/>
    <n v="0"/>
    <n v="0.54"/>
    <n v="0"/>
    <m/>
    <n v="0"/>
    <n v="0"/>
    <n v="0.48"/>
    <n v="0"/>
    <m/>
    <n v="0"/>
    <n v="0"/>
    <n v="0.42"/>
    <n v="0"/>
    <m/>
    <n v="0"/>
    <n v="0"/>
    <n v="0.36"/>
    <n v="0"/>
    <m/>
    <n v="0"/>
    <n v="0"/>
    <n v="0.32"/>
    <n v="0"/>
    <m/>
    <m/>
    <m/>
    <m/>
    <m/>
    <m/>
  </r>
  <r>
    <m/>
    <x v="4"/>
    <s v="TC"/>
    <s v="tarjetas realizadas/ # tarjetas planificadas (48) "/>
    <s v="(100%)_x000a_≥ 48 "/>
    <s v="(100%)_x000a_≥ 48 "/>
    <s v="Mensual"/>
    <n v="0.94"/>
    <n v="1"/>
    <n v="0.8"/>
    <s v="N/A"/>
    <n v="0"/>
    <n v="0.96"/>
    <n v="1"/>
    <n v="0.12"/>
    <s v="N/A"/>
    <n v="0"/>
    <n v="0.94"/>
    <n v="1"/>
    <n v="0.64"/>
    <s v="N/A"/>
    <n v="0"/>
    <n v="0.94"/>
    <n v="1"/>
    <n v="0.2"/>
    <s v="N/A"/>
    <n v="0"/>
    <n v="0.94"/>
    <n v="1"/>
    <n v="0.8"/>
    <n v="0.08"/>
    <m/>
    <n v="0.92"/>
    <n v="1"/>
    <n v="0.79"/>
    <n v="0.39"/>
    <m/>
    <n v="0.91"/>
    <n v="1"/>
    <n v="0.6"/>
    <n v="0.61"/>
    <m/>
    <n v="0.73"/>
    <n v="1"/>
    <n v="1"/>
    <n v="0.56000000000000005"/>
    <m/>
    <n v="0.59"/>
    <n v="1"/>
    <n v="0.32"/>
    <n v="0.6"/>
    <m/>
    <n v="0.54159999999999997"/>
    <n v="1"/>
    <n v="0.68"/>
    <n v="0.6"/>
    <m/>
    <n v="0.52"/>
    <n v="1"/>
    <n v="0.6"/>
    <n v="0.57999999999999996"/>
    <m/>
    <m/>
    <m/>
    <m/>
    <m/>
    <m/>
  </r>
  <r>
    <m/>
    <x v="5"/>
    <s v="CTC"/>
    <s v="((# de tarjetas cerradas)/(#. de tarjetas levantadas))*100"/>
    <s v="≥ 80 %"/>
    <s v="≥ 75 %"/>
    <s v="Mensual"/>
    <n v="0.88"/>
    <n v="0.92"/>
    <n v="0.78"/>
    <s v="N/A"/>
    <n v="0"/>
    <n v="0.9"/>
    <n v="0.84"/>
    <n v="1"/>
    <s v="N/A"/>
    <n v="0"/>
    <n v="0.89"/>
    <n v="0.8"/>
    <n v="0.91666666666666663"/>
    <s v="N/A"/>
    <n v="0"/>
    <n v="0.9"/>
    <n v="0.8"/>
    <n v="1"/>
    <s v="N/A"/>
    <n v="0"/>
    <n v="0.89"/>
    <n v="1"/>
    <n v="0.9"/>
    <n v="1"/>
    <m/>
    <n v="0.88"/>
    <n v="0.79"/>
    <n v="0.95"/>
    <n v="0.5"/>
    <m/>
    <n v="0.88"/>
    <n v="0.75"/>
    <n v="0.93"/>
    <n v="0.59"/>
    <m/>
    <n v="0.74"/>
    <n v="0.8"/>
    <n v="0.96"/>
    <n v="0.3"/>
    <m/>
    <n v="0.54"/>
    <n v="0.92"/>
    <n v="1"/>
    <n v="0.59"/>
    <m/>
    <n v="0.96150000000000002"/>
    <n v="0.9"/>
    <n v="1"/>
    <n v="0.59"/>
    <m/>
    <n v="0.9"/>
    <n v="0.94"/>
    <n v="1"/>
    <n v="0.56999999999999995"/>
    <m/>
    <m/>
    <m/>
    <m/>
    <m/>
    <m/>
  </r>
  <r>
    <m/>
    <x v="6"/>
    <s v="ART"/>
    <s v="# Análisis de Riesgo de Tarea (ATS) realizado  / # Análisis de Riesgo de Tarea (ATS) requerido"/>
    <s v="≥ 80 %"/>
    <s v="≥ 80 %"/>
    <s v="Mensual"/>
    <n v="1"/>
    <n v="1"/>
    <n v="1"/>
    <n v="1"/>
    <n v="1"/>
    <n v="1"/>
    <n v="1"/>
    <n v="1"/>
    <n v="0.98"/>
    <n v="1"/>
    <n v="1"/>
    <n v="1"/>
    <n v="1"/>
    <n v="0.98"/>
    <n v="1"/>
    <n v="1"/>
    <n v="1"/>
    <n v="1"/>
    <n v="0.98"/>
    <n v="0.98"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m/>
    <m/>
    <m/>
    <m/>
    <m/>
  </r>
  <r>
    <m/>
    <x v="7"/>
    <s v="OPAS"/>
    <s v="# Inspecciones de trabajo realizada  / # Inspecciones de trabajo planificada"/>
    <s v="≥ 80 %"/>
    <s v="≥ 80 %"/>
    <s v="Mensual"/>
    <n v="0.98"/>
    <n v="1"/>
    <n v="1"/>
    <n v="1"/>
    <n v="1"/>
    <n v="0.98"/>
    <n v="1"/>
    <n v="1"/>
    <n v="0.98"/>
    <n v="1"/>
    <n v="0.98"/>
    <n v="1"/>
    <n v="1"/>
    <n v="0.96"/>
    <n v="1"/>
    <n v="0.98"/>
    <n v="1"/>
    <n v="1"/>
    <n v="0.97"/>
    <n v="0.99"/>
    <n v="0.98"/>
    <n v="1"/>
    <n v="1"/>
    <n v="0.96"/>
    <m/>
    <n v="0.97"/>
    <n v="1"/>
    <n v="1"/>
    <n v="0.93"/>
    <m/>
    <n v="0.97"/>
    <n v="1"/>
    <n v="1"/>
    <n v="0.93"/>
    <m/>
    <n v="0.97"/>
    <n v="1"/>
    <n v="1"/>
    <n v="0.93"/>
    <m/>
    <n v="0.97"/>
    <n v="1"/>
    <n v="1"/>
    <n v="0.94"/>
    <m/>
    <n v="0.97"/>
    <n v="1"/>
    <n v="1"/>
    <n v="0.94"/>
    <m/>
    <n v="0.98"/>
    <n v="1"/>
    <n v="1"/>
    <n v="0.94"/>
    <m/>
    <m/>
    <m/>
    <m/>
    <m/>
    <m/>
  </r>
  <r>
    <m/>
    <x v="8"/>
    <s v="IDPS"/>
    <s v="((# Capac. realizadas/ #Capac. programadas) / (# de pers. asistentes / #de pers. programadas))"/>
    <s v="≥ 80 %"/>
    <s v="≥ 80 %"/>
    <s v="Mensual"/>
    <n v="0.98"/>
    <n v="0.9"/>
    <n v="0.92"/>
    <n v="1"/>
    <n v="1"/>
    <n v="0.98"/>
    <n v="0.9"/>
    <n v="0.94669999999999999"/>
    <n v="1"/>
    <n v="1"/>
    <n v="0.98"/>
    <n v="0.9"/>
    <n v="0.82222222222222219"/>
    <n v="1"/>
    <n v="1"/>
    <n v="0.98"/>
    <n v="0.9"/>
    <n v="0.94699999999999995"/>
    <n v="0.99"/>
    <n v="0.98"/>
    <n v="0.98"/>
    <n v="0.9"/>
    <n v="0.90700000000000003"/>
    <n v="0.98"/>
    <m/>
    <n v="0.98"/>
    <n v="0.9"/>
    <n v="0.93300000000000005"/>
    <n v="0.97"/>
    <m/>
    <n v="0.98"/>
    <n v="0.91"/>
    <n v="0.92"/>
    <n v="0.97"/>
    <m/>
    <n v="0.98"/>
    <n v="0.88"/>
    <n v="0.94699999999999995"/>
    <n v="0.97"/>
    <m/>
    <n v="0.98"/>
    <n v="0.86"/>
    <n v="0.88800000000000001"/>
    <n v="0.96"/>
    <m/>
    <n v="0.98"/>
    <n v="0.88"/>
    <n v="0.98"/>
    <n v="0.96"/>
    <m/>
    <n v="0.98"/>
    <n v="0.86"/>
    <n v="0.94299999999999995"/>
    <n v="0.96"/>
    <m/>
    <m/>
    <m/>
    <m/>
    <m/>
    <m/>
  </r>
  <r>
    <m/>
    <x v="9"/>
    <s v="IDS"/>
    <s v="# ConDICiones subestándar eliminadas / #ConDICiones subestándar identificadas"/>
    <s v="≥ 80 %"/>
    <s v="≥ 80 %"/>
    <s v="Mensual"/>
    <n v="0.96"/>
    <n v="1"/>
    <n v="0.91700000000000004"/>
    <n v="1"/>
    <n v="1"/>
    <n v="0.96"/>
    <n v="1"/>
    <n v="0.66600000000000004"/>
    <n v="1"/>
    <n v="1"/>
    <n v="0.95"/>
    <n v="0.8"/>
    <n v="0.9375"/>
    <n v="1"/>
    <n v="1"/>
    <n v="0.96"/>
    <n v="0.8"/>
    <n v="1"/>
    <n v="1"/>
    <n v="0.98"/>
    <n v="0.95"/>
    <n v="1"/>
    <n v="0.79"/>
    <n v="1"/>
    <m/>
    <n v="0.95"/>
    <n v="1"/>
    <n v="1"/>
    <n v="0.98"/>
    <m/>
    <n v="1"/>
    <n v="1"/>
    <n v="0.90900000000000003"/>
    <n v="0.98"/>
    <m/>
    <n v="0.98"/>
    <n v="1"/>
    <n v="1"/>
    <n v="0.98"/>
    <m/>
    <n v="0.97"/>
    <n v="1"/>
    <n v="1"/>
    <n v="0.98"/>
    <m/>
    <n v="0.97"/>
    <n v="1"/>
    <n v="1"/>
    <n v="0.98"/>
    <m/>
    <n v="0.97"/>
    <n v="1"/>
    <n v="1"/>
    <n v="0.97"/>
    <m/>
    <m/>
    <m/>
    <m/>
    <m/>
    <m/>
  </r>
  <r>
    <m/>
    <x v="10"/>
    <s v="IENTS"/>
    <s v="# Entrenamientos realizados / # Entrenamiento planificados"/>
    <s v="≥ 80 %"/>
    <s v="≥ 80 %"/>
    <s v="Mensual"/>
    <n v="0.96"/>
    <n v="1"/>
    <n v="0.92900000000000005"/>
    <n v="1"/>
    <n v="1"/>
    <n v="0.96"/>
    <n v="1"/>
    <n v="0.88400000000000001"/>
    <n v="0.96"/>
    <n v="1"/>
    <n v="0.96"/>
    <n v="1"/>
    <n v="0.87060000000000004"/>
    <n v="0.96"/>
    <n v="1"/>
    <n v="0.96"/>
    <n v="1"/>
    <n v="0.871"/>
    <n v="0.97"/>
    <n v="0.99"/>
    <n v="0.96"/>
    <n v="1"/>
    <n v="0.85499999999999998"/>
    <n v="0.97"/>
    <m/>
    <n v="0.96"/>
    <n v="0.8"/>
    <n v="0.82399999999999995"/>
    <n v="0.96"/>
    <m/>
    <n v="0.95"/>
    <n v="1"/>
    <n v="0.84699999999999998"/>
    <n v="0.97"/>
    <m/>
    <n v="0.96"/>
    <n v="1"/>
    <n v="0.85899999999999999"/>
    <n v="0.97"/>
    <m/>
    <n v="0.97"/>
    <n v="1"/>
    <n v="1"/>
    <n v="0.96"/>
    <m/>
    <n v="0.97"/>
    <n v="1"/>
    <n v="0.98"/>
    <n v="0.97"/>
    <m/>
    <n v="0.97"/>
    <n v="1"/>
    <n v="0.91400000000000003"/>
    <n v="0.96"/>
    <m/>
    <m/>
    <m/>
    <m/>
    <m/>
    <m/>
  </r>
  <r>
    <m/>
    <x v="11"/>
    <s v="OSEA "/>
    <s v="#Permisos de trabajo realizados / # Permiso de necesarios "/>
    <s v="≥ 80 %"/>
    <s v="≥ 80 %"/>
    <s v="Mensual"/>
    <n v="0.99"/>
    <n v="1"/>
    <n v="1"/>
    <n v="1"/>
    <n v="1"/>
    <n v="1"/>
    <n v="1"/>
    <n v="1"/>
    <n v="0.96"/>
    <n v="1"/>
    <n v="0.99"/>
    <n v="1"/>
    <n v="1"/>
    <n v="0.94"/>
    <n v="1"/>
    <n v="0.99"/>
    <n v="1"/>
    <n v="1"/>
    <n v="0.95"/>
    <n v="0.98"/>
    <n v="0.99"/>
    <n v="1"/>
    <n v="1"/>
    <n v="0.95"/>
    <m/>
    <n v="0.99"/>
    <n v="1"/>
    <n v="1"/>
    <n v="0.95"/>
    <m/>
    <n v="0.99"/>
    <n v="1"/>
    <n v="1"/>
    <n v="0.96"/>
    <m/>
    <n v="0.99"/>
    <n v="1"/>
    <n v="1"/>
    <n v="0.95"/>
    <m/>
    <n v="0.98"/>
    <n v="1"/>
    <n v="1"/>
    <n v="0.95"/>
    <m/>
    <n v="0.98"/>
    <n v="1"/>
    <n v="1"/>
    <n v="0.95"/>
    <m/>
    <n v="0.98"/>
    <n v="1"/>
    <n v="1"/>
    <n v="0.95"/>
    <m/>
    <m/>
    <m/>
    <m/>
    <m/>
    <m/>
  </r>
  <r>
    <m/>
    <x v="12"/>
    <s v="CAI"/>
    <s v="# de Actividades de Planes de acciones cerradas / # de Actividades de Planes de acciones establecidas"/>
    <s v="≥ 80 %"/>
    <s v="≥ 80 %"/>
    <s v="Mensual"/>
    <n v="0.9"/>
    <n v="1"/>
    <n v="0.83299999999999996"/>
    <n v="1"/>
    <n v="1"/>
    <n v="0.94"/>
    <n v="1"/>
    <n v="0.87509999999999999"/>
    <n v="1"/>
    <n v="1"/>
    <n v="0.95"/>
    <n v="1"/>
    <n v="1"/>
    <n v="1"/>
    <n v="1"/>
    <n v="0.94"/>
    <n v="1"/>
    <n v="1"/>
    <n v="1"/>
    <n v="0.98"/>
    <n v="0.94"/>
    <n v="1"/>
    <n v="0.92900000000000005"/>
    <n v="1"/>
    <m/>
    <n v="0.91"/>
    <n v="1"/>
    <n v="1"/>
    <n v="1"/>
    <m/>
    <n v="0.92"/>
    <n v="1"/>
    <n v="1"/>
    <n v="1"/>
    <m/>
    <n v="0.82"/>
    <n v="1"/>
    <n v="1"/>
    <n v="1"/>
    <m/>
    <n v="0.89"/>
    <n v="1"/>
    <n v="1"/>
    <n v="1"/>
    <m/>
    <n v="0.84"/>
    <n v="1"/>
    <n v="1"/>
    <n v="1"/>
    <m/>
    <n v="0.89"/>
    <n v="1"/>
    <n v="1"/>
    <n v="1"/>
    <m/>
    <m/>
    <m/>
    <m/>
    <m/>
    <m/>
  </r>
  <r>
    <m/>
    <x v="13"/>
    <s v="I G"/>
    <s v="((5 * ART) + (3*OPAS) + (2*IDPS) + (3*IDS) + (IENTS) + (4*OSEA) + (4*CAI)) / 22"/>
    <s v="≥ 80 %"/>
    <s v="≥ 80 %"/>
    <s v="Mensual"/>
    <n v="0.97"/>
    <n v="0.99"/>
    <n v="0.94799999999999995"/>
    <n v="1"/>
    <n v="1"/>
    <n v="0.98"/>
    <n v="0.99"/>
    <n v="0.91839999999999999"/>
    <n v="0.98"/>
    <n v="1"/>
    <n v="0.98"/>
    <n v="0.96"/>
    <n v="0.96940000000000004"/>
    <n v="0.98"/>
    <n v="1"/>
    <n v="0.98"/>
    <n v="0.96"/>
    <n v="0.98299999999999998"/>
    <n v="0.98"/>
    <n v="0.98"/>
    <n v="0.97"/>
    <n v="0.98"/>
    <n v="0.94199999999999995"/>
    <n v="0.98"/>
    <m/>
    <n v="0.97"/>
    <n v="0.98"/>
    <n v="0.98599999999999999"/>
    <n v="0.97"/>
    <m/>
    <n v="0.98"/>
    <n v="0.99"/>
    <n v="0.97299999999999998"/>
    <n v="0.97"/>
    <m/>
    <n v="0.96"/>
    <n v="0.98"/>
    <n v="0.98899999999999999"/>
    <n v="0.97"/>
    <m/>
    <n v="0.96499999999999997"/>
    <n v="0.98"/>
    <n v="0.99"/>
    <n v="0.97"/>
    <m/>
    <n v="0.96"/>
    <n v="0.98"/>
    <n v="0.998"/>
    <n v="0.97"/>
    <m/>
    <n v="0.96640000000000004"/>
    <n v="0.98"/>
    <n v="0.99099999999999999"/>
    <n v="0.96860000000000002"/>
    <m/>
    <m/>
    <m/>
    <m/>
    <m/>
    <m/>
  </r>
  <r>
    <s v="SALUD OCUPACIONAL"/>
    <x v="14"/>
    <s v="IEP"/>
    <s v="(#enfermedades Ocup. X 1000) / (# de trabajadores)"/>
    <s v="≤ 5"/>
    <s v="≤ 5"/>
    <s v="Trimestral"/>
    <m/>
    <m/>
    <m/>
    <m/>
    <m/>
    <m/>
    <m/>
    <m/>
    <m/>
    <m/>
    <n v="0"/>
    <n v="0"/>
    <n v="0"/>
    <n v="0"/>
    <n v="0"/>
    <m/>
    <m/>
    <m/>
    <m/>
    <m/>
    <m/>
    <m/>
    <m/>
    <m/>
    <m/>
    <n v="0"/>
    <n v="0"/>
    <n v="0"/>
    <n v="0"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m/>
    <m/>
  </r>
  <r>
    <m/>
    <x v="15"/>
    <s v="IEO"/>
    <s v="( (#exámenes Ocup.  ejecutados) / (# de trabajadores planificados) ) x  100"/>
    <s v="≥ 90%"/>
    <s v="≥ 90%"/>
    <s v="Trimestral"/>
    <m/>
    <m/>
    <m/>
    <m/>
    <n v="1"/>
    <m/>
    <m/>
    <m/>
    <m/>
    <m/>
    <n v="1"/>
    <n v="1"/>
    <n v="1"/>
    <n v="1"/>
    <n v="1"/>
    <m/>
    <m/>
    <m/>
    <m/>
    <m/>
    <m/>
    <m/>
    <m/>
    <m/>
    <m/>
    <n v="0.90910000000000002"/>
    <n v="1"/>
    <n v="1"/>
    <n v="1"/>
    <m/>
    <m/>
    <m/>
    <m/>
    <m/>
    <m/>
    <m/>
    <m/>
    <m/>
    <m/>
    <m/>
    <n v="0.98"/>
    <n v="1"/>
    <n v="1"/>
    <n v="1"/>
    <m/>
    <n v="0.9355"/>
    <m/>
    <m/>
    <m/>
    <m/>
    <m/>
    <m/>
    <m/>
    <m/>
    <m/>
    <m/>
    <m/>
    <m/>
    <m/>
    <m/>
  </r>
  <r>
    <m/>
    <x v="16"/>
    <s v="PVM"/>
    <s v="[(# Valoraciones méDICas realizadas/ # Valoraciones méDICas programadas)] X 100"/>
    <s v="≥ 90%"/>
    <s v="≥ 90%"/>
    <s v="Mensual"/>
    <n v="0.95250000000000001"/>
    <n v="0.9325"/>
    <n v="1"/>
    <n v="0.92500000000000004"/>
    <n v="1"/>
    <n v="0.92630000000000001"/>
    <n v="0.92"/>
    <n v="1"/>
    <n v="0.9375"/>
    <n v="1"/>
    <n v="0.95"/>
    <n v="0.96"/>
    <n v="1"/>
    <n v="1"/>
    <n v="1"/>
    <n v="1"/>
    <n v="1"/>
    <n v="1"/>
    <n v="0.9375"/>
    <n v="1"/>
    <n v="0.97629999999999995"/>
    <n v="0.96"/>
    <n v="1"/>
    <n v="1"/>
    <m/>
    <n v="0.91479999999999995"/>
    <n v="0.92"/>
    <n v="1"/>
    <n v="1"/>
    <m/>
    <n v="0.92110000000000003"/>
    <n v="1"/>
    <n v="1"/>
    <n v="0.9375"/>
    <m/>
    <n v="0.90910000000000002"/>
    <n v="1"/>
    <n v="1"/>
    <n v="1"/>
    <m/>
    <n v="1"/>
    <n v="0.92"/>
    <n v="1"/>
    <n v="0.9375"/>
    <m/>
    <n v="0.98680000000000001"/>
    <n v="0.96"/>
    <n v="1"/>
    <n v="0.9375"/>
    <m/>
    <n v="1"/>
    <n v="0.92"/>
    <n v="1"/>
    <n v="1"/>
    <m/>
    <m/>
    <m/>
    <m/>
    <m/>
    <m/>
  </r>
  <r>
    <m/>
    <x v="17"/>
    <m/>
    <s v="[(# Carnets de vacunas actualizadas/ # Carnets de vacunas programadas actualizar)] X 100"/>
    <m/>
    <s v="≥ 80%"/>
    <s v="Mensual"/>
    <n v="0.92749999999999999"/>
    <n v="0.95750000000000002"/>
    <n v="1"/>
    <n v="0.91"/>
    <m/>
    <n v="0.88"/>
    <n v="0.91"/>
    <n v="1"/>
    <n v="0.92859999999999998"/>
    <n v="0.97"/>
    <n v="0.91669999999999996"/>
    <n v="0.92"/>
    <n v="1"/>
    <n v="0.85709999999999997"/>
    <n v="0.98"/>
    <n v="0.84"/>
    <n v="0.81820000000000004"/>
    <n v="0.98"/>
    <n v="0.8"/>
    <n v="0.98"/>
    <n v="0.88570000000000004"/>
    <n v="0.91669999999999996"/>
    <n v="0.99"/>
    <n v="0.85709999999999997"/>
    <m/>
    <n v="1"/>
    <n v="0.90910000000000002"/>
    <n v="0.99"/>
    <n v="0.92859999999999998"/>
    <m/>
    <n v="1"/>
    <n v="0.90910000000000002"/>
    <n v="1"/>
    <n v="0.85709999999999997"/>
    <m/>
    <n v="1"/>
    <n v="0.90910000000000002"/>
    <n v="0.99"/>
    <n v="0.9"/>
    <m/>
    <n v="1"/>
    <n v="1"/>
    <s v="98/%"/>
    <n v="0.92310000000000003"/>
    <m/>
    <n v="1"/>
    <s v="91, 67%"/>
    <n v="0.99"/>
    <n v="0.92859999999999998"/>
    <m/>
    <n v="0.94"/>
    <n v="0.93330000000000002"/>
    <n v="0.99"/>
    <n v="0.86670000000000003"/>
    <m/>
    <m/>
    <m/>
    <m/>
    <m/>
    <m/>
  </r>
  <r>
    <m/>
    <x v="18"/>
    <s v="PCSSA"/>
    <s v="# Capacitaciones S.O.  realizados / # Capacitaciones S.O. s  planificados"/>
    <s v="≥ 80%"/>
    <s v="≥ 90%"/>
    <s v="Mensual"/>
    <n v="1"/>
    <n v="1"/>
    <n v="1"/>
    <n v="1"/>
    <n v="1"/>
    <n v="1"/>
    <n v="1"/>
    <n v="1"/>
    <n v="1"/>
    <n v="1"/>
    <n v="1"/>
    <n v="1"/>
    <n v="1"/>
    <n v="1"/>
    <n v="1"/>
    <n v="0.9"/>
    <n v="1"/>
    <n v="1"/>
    <n v="1"/>
    <n v="1"/>
    <n v="1"/>
    <n v="1"/>
    <n v="1"/>
    <n v="1"/>
    <m/>
    <n v="0.9"/>
    <n v="1"/>
    <n v="1"/>
    <n v="1"/>
    <m/>
    <n v="0.92"/>
    <n v="1"/>
    <n v="1"/>
    <n v="1"/>
    <m/>
    <n v="1"/>
    <n v="1"/>
    <n v="1"/>
    <n v="1"/>
    <m/>
    <n v="1"/>
    <n v="1"/>
    <n v="1"/>
    <n v="1"/>
    <m/>
    <n v="1"/>
    <n v="1"/>
    <n v="1"/>
    <n v="1"/>
    <m/>
    <n v="1"/>
    <n v="1"/>
    <n v="1"/>
    <n v="1"/>
    <m/>
    <m/>
    <m/>
    <m/>
    <m/>
    <m/>
  </r>
  <r>
    <m/>
    <x v="19"/>
    <s v="ESSO"/>
    <s v="# Entrenamientos y Simulacros  realizados / # Entrenamiento y Simulacros  planificados"/>
    <s v="≥ 90%"/>
    <s v="≥ 80%"/>
    <s v="Bimensual"/>
    <m/>
    <m/>
    <m/>
    <m/>
    <n v="1"/>
    <n v="1"/>
    <n v="1"/>
    <n v="1"/>
    <n v="1"/>
    <n v="1"/>
    <m/>
    <m/>
    <m/>
    <m/>
    <m/>
    <n v="1"/>
    <n v="1"/>
    <n v="1"/>
    <n v="1"/>
    <n v="1"/>
    <m/>
    <m/>
    <m/>
    <m/>
    <m/>
    <n v="0.85"/>
    <n v="1"/>
    <n v="1"/>
    <n v="1"/>
    <m/>
    <m/>
    <m/>
    <m/>
    <m/>
    <m/>
    <n v="0.9"/>
    <n v="1"/>
    <n v="1"/>
    <n v="1"/>
    <m/>
    <m/>
    <n v="1"/>
    <m/>
    <m/>
    <m/>
    <n v="1"/>
    <m/>
    <n v="1"/>
    <m/>
    <m/>
    <m/>
    <m/>
    <n v="1"/>
    <m/>
    <m/>
    <m/>
    <m/>
    <m/>
    <m/>
    <m/>
  </r>
  <r>
    <m/>
    <x v="20"/>
    <s v="IERL"/>
    <s v="[(# investigación a exposición de riesgos laborales. realizadas/ #investigación a exposición de riesgos laborales programadas)] X 100"/>
    <s v="≥ 90%"/>
    <s v="≥ 80%"/>
    <s v="Semestral"/>
    <m/>
    <m/>
    <m/>
    <m/>
    <m/>
    <m/>
    <m/>
    <m/>
    <m/>
    <m/>
    <m/>
    <m/>
    <m/>
    <m/>
    <m/>
    <m/>
    <m/>
    <m/>
    <m/>
    <m/>
    <m/>
    <m/>
    <m/>
    <m/>
    <m/>
    <n v="0.8"/>
    <n v="0.8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"/>
    <s v="PPS"/>
    <s v="# Programas de Promoción de la Salud  realizados / # Programas de Promoción de la Salud  planificados"/>
    <s v="≥ 80%"/>
    <s v="≥ 80%"/>
    <s v="Semestral"/>
    <m/>
    <m/>
    <m/>
    <m/>
    <m/>
    <m/>
    <m/>
    <m/>
    <m/>
    <m/>
    <m/>
    <m/>
    <m/>
    <m/>
    <m/>
    <m/>
    <m/>
    <m/>
    <m/>
    <m/>
    <m/>
    <m/>
    <m/>
    <m/>
    <m/>
    <n v="0.8"/>
    <n v="0.8"/>
    <n v="1"/>
    <n v="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EDIO AMBIENTE"/>
    <x v="22"/>
    <s v="ICOL"/>
    <s v="ICOL=  (puntuación obtenida en cada área)/(puntuación máxima posible (100))  x 100 "/>
    <s v="≥ 95%"/>
    <s v="≥ 80%"/>
    <s v="Trimestral"/>
    <m/>
    <m/>
    <m/>
    <m/>
    <m/>
    <m/>
    <m/>
    <m/>
    <m/>
    <m/>
    <n v="0.86"/>
    <n v="0.91"/>
    <n v="0.73"/>
    <n v="0"/>
    <n v="0"/>
    <m/>
    <m/>
    <m/>
    <m/>
    <m/>
    <m/>
    <m/>
    <m/>
    <m/>
    <m/>
    <n v="0.95"/>
    <n v="1"/>
    <n v="0.95"/>
    <n v="0.96"/>
    <m/>
    <m/>
    <m/>
    <m/>
    <m/>
    <m/>
    <m/>
    <m/>
    <m/>
    <m/>
    <m/>
    <n v="0.9"/>
    <n v="1"/>
    <n v="0.88"/>
    <n v="0.94"/>
    <m/>
    <m/>
    <m/>
    <m/>
    <m/>
    <m/>
    <m/>
    <m/>
    <m/>
    <m/>
    <m/>
    <m/>
    <m/>
    <m/>
    <m/>
    <m/>
  </r>
  <r>
    <m/>
    <x v="23"/>
    <s v="ICFSA"/>
    <s v="%=  (# de empleados que participan en capacitaciones ambientales)/(# total de empleados en turno)  x 100"/>
    <n v="1"/>
    <n v="0.8"/>
    <s v="Trimestral"/>
    <m/>
    <m/>
    <m/>
    <m/>
    <m/>
    <m/>
    <m/>
    <m/>
    <m/>
    <m/>
    <n v="0.9"/>
    <n v="0.77"/>
    <n v="0.93"/>
    <n v="0"/>
    <n v="0"/>
    <m/>
    <m/>
    <m/>
    <m/>
    <m/>
    <m/>
    <m/>
    <m/>
    <m/>
    <m/>
    <n v="0.96"/>
    <n v="0.87"/>
    <n v="1"/>
    <n v="0.9"/>
    <m/>
    <m/>
    <m/>
    <m/>
    <m/>
    <m/>
    <m/>
    <m/>
    <m/>
    <m/>
    <m/>
    <n v="0.96"/>
    <n v="0.81"/>
    <n v="1"/>
    <n v="0.9"/>
    <m/>
    <m/>
    <m/>
    <m/>
    <m/>
    <m/>
    <m/>
    <m/>
    <m/>
    <m/>
    <m/>
    <m/>
    <m/>
    <m/>
    <m/>
    <m/>
  </r>
  <r>
    <m/>
    <x v="24"/>
    <s v="IRCE"/>
    <s v="% reducción ENERGÍA=  (consumo anterior-consumo actual)/(consumo anterior)  x 100"/>
    <s v="reducción del 5% anual"/>
    <s v="reducción del 5% anual ó 1,25% x trimestre"/>
    <s v="Trimestral"/>
    <m/>
    <m/>
    <m/>
    <m/>
    <m/>
    <m/>
    <m/>
    <m/>
    <m/>
    <m/>
    <n v="0.2"/>
    <n v="0"/>
    <n v="0"/>
    <n v="0"/>
    <n v="0"/>
    <m/>
    <m/>
    <m/>
    <m/>
    <m/>
    <m/>
    <m/>
    <m/>
    <m/>
    <m/>
    <n v="0.1"/>
    <n v="0"/>
    <n v="0.8"/>
    <n v="1"/>
    <m/>
    <m/>
    <m/>
    <m/>
    <m/>
    <m/>
    <m/>
    <m/>
    <m/>
    <m/>
    <m/>
    <n v="1"/>
    <n v="0.8"/>
    <n v="1"/>
    <n v="1"/>
    <m/>
    <m/>
    <m/>
    <m/>
    <m/>
    <m/>
    <m/>
    <m/>
    <m/>
    <m/>
    <m/>
    <m/>
    <m/>
    <m/>
    <m/>
    <m/>
  </r>
  <r>
    <m/>
    <x v="25"/>
    <s v="IRCA"/>
    <s v="% reducción agua=  (consumo anterior-consumo actual)/(consumo anterior)  x 100"/>
    <s v="reducción del 5% anual"/>
    <s v="reducción del 5% anual ó 1,25% x trimestre"/>
    <s v="Trimestral"/>
    <m/>
    <m/>
    <m/>
    <m/>
    <m/>
    <m/>
    <m/>
    <m/>
    <m/>
    <m/>
    <n v="0.2"/>
    <n v="0"/>
    <n v="0"/>
    <n v="0"/>
    <n v="0"/>
    <m/>
    <m/>
    <m/>
    <m/>
    <m/>
    <m/>
    <m/>
    <m/>
    <m/>
    <m/>
    <n v="0"/>
    <n v="0"/>
    <n v="0.8"/>
    <n v="1"/>
    <m/>
    <m/>
    <m/>
    <m/>
    <m/>
    <m/>
    <m/>
    <m/>
    <m/>
    <m/>
    <m/>
    <n v="1"/>
    <n v="1"/>
    <n v="0"/>
    <n v="1"/>
    <m/>
    <m/>
    <m/>
    <m/>
    <m/>
    <m/>
    <m/>
    <m/>
    <m/>
    <m/>
    <m/>
    <m/>
    <m/>
    <m/>
    <m/>
    <m/>
  </r>
  <r>
    <m/>
    <x v="26"/>
    <s v="ICRR"/>
    <s v="% reciclaje=  (residuos reciclados)/(total residuos generados)  x 100"/>
    <s v="10% en el año"/>
    <s v="10% en el año ó 2,5% x trimestre"/>
    <s v="Trimestral"/>
    <m/>
    <m/>
    <m/>
    <m/>
    <m/>
    <m/>
    <m/>
    <m/>
    <m/>
    <m/>
    <n v="0.43"/>
    <n v="1"/>
    <n v="1"/>
    <n v="0"/>
    <n v="0"/>
    <m/>
    <m/>
    <m/>
    <m/>
    <m/>
    <m/>
    <m/>
    <m/>
    <m/>
    <m/>
    <n v="0.99"/>
    <n v="1"/>
    <n v="1"/>
    <n v="1"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</r>
  <r>
    <m/>
    <x v="27"/>
    <s v="ICPMON"/>
    <s v="% Cumplimiento al Plan de Monitoreo =  (# monitoreos ejecutados )/(# monitoreos planificados)  x 100"/>
    <n v="1"/>
    <n v="1"/>
    <s v="Trimestral"/>
    <m/>
    <m/>
    <m/>
    <m/>
    <m/>
    <m/>
    <m/>
    <m/>
    <m/>
    <m/>
    <n v="1"/>
    <n v="1"/>
    <n v="1"/>
    <n v="0"/>
    <n v="0"/>
    <m/>
    <m/>
    <m/>
    <m/>
    <m/>
    <m/>
    <m/>
    <m/>
    <m/>
    <m/>
    <n v="1"/>
    <n v="1"/>
    <n v="1"/>
    <n v="0.6"/>
    <m/>
    <m/>
    <m/>
    <m/>
    <m/>
    <m/>
    <m/>
    <m/>
    <m/>
    <m/>
    <m/>
    <n v="1"/>
    <n v="1"/>
    <n v="1"/>
    <n v="0.6"/>
    <m/>
    <m/>
    <m/>
    <m/>
    <m/>
    <m/>
    <m/>
    <m/>
    <m/>
    <m/>
    <m/>
    <m/>
    <m/>
    <m/>
    <m/>
    <m/>
  </r>
  <r>
    <m/>
    <x v="28"/>
    <s v="ICLMPG"/>
    <s v="% cumplimiento=  (# de monitoreo de fuentes dentro de LMP)/(# total de fuentes fijas de combustión monitoreadas)  x 100"/>
    <n v="1"/>
    <n v="1"/>
    <s v="Trimestral"/>
    <m/>
    <m/>
    <m/>
    <m/>
    <m/>
    <m/>
    <m/>
    <m/>
    <m/>
    <m/>
    <n v="1"/>
    <n v="1"/>
    <m/>
    <m/>
    <m/>
    <m/>
    <m/>
    <m/>
    <m/>
    <m/>
    <m/>
    <m/>
    <m/>
    <m/>
    <m/>
    <n v="0.97"/>
    <n v="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</r>
  <r>
    <m/>
    <x v="29"/>
    <s v="ICLMPA"/>
    <s v="% cumplimiento=  (# de monitoreo de aguas dentro de LMP)/(# total de monitoreos ejecutados)  x 100"/>
    <n v="1"/>
    <n v="1"/>
    <s v="Trimestral"/>
    <m/>
    <m/>
    <m/>
    <m/>
    <m/>
    <m/>
    <m/>
    <m/>
    <m/>
    <m/>
    <n v="1"/>
    <m/>
    <n v="1"/>
    <n v="0"/>
    <n v="0"/>
    <m/>
    <m/>
    <m/>
    <m/>
    <m/>
    <m/>
    <m/>
    <m/>
    <m/>
    <m/>
    <n v="0.99"/>
    <m/>
    <n v="1"/>
    <n v="0"/>
    <m/>
    <m/>
    <m/>
    <m/>
    <m/>
    <m/>
    <m/>
    <m/>
    <m/>
    <m/>
    <m/>
    <n v="1"/>
    <m/>
    <n v="1"/>
    <n v="0"/>
    <m/>
    <m/>
    <m/>
    <m/>
    <m/>
    <m/>
    <m/>
    <m/>
    <m/>
    <m/>
    <m/>
    <m/>
    <m/>
    <m/>
    <m/>
    <m/>
  </r>
  <r>
    <m/>
    <x v="30"/>
    <s v="ICPMA"/>
    <s v="% cumplimiento PMA=  (# de acciones que si cumplen)/(# total de acciones )  x 100"/>
    <n v="1"/>
    <n v="1"/>
    <s v="Trimestral"/>
    <m/>
    <m/>
    <m/>
    <m/>
    <m/>
    <m/>
    <m/>
    <m/>
    <m/>
    <m/>
    <n v="0.97"/>
    <n v="0.88"/>
    <n v="0.97"/>
    <n v="0"/>
    <n v="0"/>
    <m/>
    <m/>
    <m/>
    <m/>
    <m/>
    <m/>
    <m/>
    <m/>
    <m/>
    <m/>
    <n v="0.95"/>
    <n v="1"/>
    <n v="1"/>
    <n v="0"/>
    <m/>
    <m/>
    <m/>
    <m/>
    <m/>
    <m/>
    <m/>
    <m/>
    <m/>
    <m/>
    <m/>
    <n v="0.96"/>
    <n v="1"/>
    <n v="0.96"/>
    <n v="0"/>
    <m/>
    <m/>
    <m/>
    <m/>
    <m/>
    <m/>
    <m/>
    <m/>
    <m/>
    <m/>
    <m/>
    <m/>
    <m/>
    <m/>
    <m/>
    <m/>
  </r>
  <r>
    <m/>
    <x v="31"/>
    <s v="ICAC"/>
    <s v="% acciones correctivas=  (# acciones correctivas implementadas a tiempo)/(# total de acciones correctivas)  x 100"/>
    <s v="≥95%"/>
    <s v="≥80%"/>
    <s v="Trimestral"/>
    <m/>
    <m/>
    <m/>
    <m/>
    <m/>
    <m/>
    <m/>
    <m/>
    <m/>
    <m/>
    <n v="0.54"/>
    <n v="0.9"/>
    <n v="1"/>
    <n v="0"/>
    <n v="0"/>
    <m/>
    <m/>
    <m/>
    <m/>
    <m/>
    <m/>
    <m/>
    <m/>
    <m/>
    <m/>
    <n v="0.64"/>
    <n v="1"/>
    <n v="0.95"/>
    <n v="0.45"/>
    <m/>
    <m/>
    <m/>
    <m/>
    <m/>
    <m/>
    <m/>
    <m/>
    <m/>
    <m/>
    <m/>
    <n v="0.71"/>
    <n v="1"/>
    <n v="1"/>
    <n v="0.45"/>
    <m/>
    <m/>
    <m/>
    <m/>
    <m/>
    <m/>
    <m/>
    <m/>
    <m/>
    <m/>
    <m/>
    <m/>
    <m/>
    <m/>
    <m/>
    <m/>
  </r>
  <r>
    <m/>
    <x v="32"/>
    <s v="IGPQLBIO"/>
    <s v="% sustitución=  (# de Productos Químico biodegradables)/(# total de productos químicos de limpieza utilizados)  x 100"/>
    <n v="0.5"/>
    <n v="0.25"/>
    <s v="Trimestral"/>
    <m/>
    <m/>
    <m/>
    <m/>
    <m/>
    <m/>
    <m/>
    <m/>
    <m/>
    <m/>
    <n v="0"/>
    <m/>
    <n v="1"/>
    <n v="0"/>
    <n v="0"/>
    <m/>
    <m/>
    <m/>
    <m/>
    <m/>
    <m/>
    <m/>
    <m/>
    <m/>
    <m/>
    <n v="0.1"/>
    <m/>
    <n v="0.84"/>
    <n v="0"/>
    <m/>
    <m/>
    <m/>
    <m/>
    <m/>
    <m/>
    <m/>
    <m/>
    <m/>
    <m/>
    <m/>
    <n v="0.18"/>
    <m/>
    <n v="1"/>
    <n v="0"/>
    <m/>
    <m/>
    <m/>
    <m/>
    <m/>
    <m/>
    <m/>
    <m/>
    <m/>
    <m/>
    <m/>
    <m/>
    <m/>
    <m/>
    <m/>
    <m/>
  </r>
  <r>
    <m/>
    <x v="33"/>
    <s v="IER"/>
    <s v="% de energiás renovables=  (cantidad de energía reOCTable generada)/(cantidad total de energía de la empresa)  x 100"/>
    <s v="5% en el año"/>
    <s v="5% en el año ó 1,25% x trimestre"/>
    <s v="Trimestral"/>
    <m/>
    <m/>
    <m/>
    <m/>
    <m/>
    <m/>
    <m/>
    <m/>
    <m/>
    <m/>
    <n v="0"/>
    <n v="0"/>
    <n v="0"/>
    <n v="0"/>
    <n v="0"/>
    <m/>
    <m/>
    <m/>
    <m/>
    <m/>
    <m/>
    <m/>
    <m/>
    <m/>
    <m/>
    <n v="0"/>
    <n v="0"/>
    <n v="0"/>
    <n v="0"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m/>
    <m/>
  </r>
  <r>
    <m/>
    <x v="34"/>
    <s v="ITECA"/>
    <s v="% tecnologías BI=  (# de tecnologías implementadas de bajo impacto)/(# total de tecnologías planificadas)  x 100"/>
    <s v="2 tecnologías en el año"/>
    <s v="1 tecnologías en el año"/>
    <s v="Trimestral"/>
    <m/>
    <m/>
    <m/>
    <m/>
    <m/>
    <m/>
    <m/>
    <m/>
    <m/>
    <m/>
    <n v="0"/>
    <n v="1"/>
    <n v="0"/>
    <n v="0"/>
    <n v="0"/>
    <m/>
    <m/>
    <m/>
    <m/>
    <m/>
    <m/>
    <m/>
    <m/>
    <m/>
    <m/>
    <n v="0"/>
    <n v="1"/>
    <n v="1"/>
    <n v="0"/>
    <m/>
    <m/>
    <m/>
    <m/>
    <m/>
    <m/>
    <m/>
    <m/>
    <m/>
    <m/>
    <m/>
    <n v="1"/>
    <n v="1"/>
    <n v="0"/>
    <n v="0"/>
    <m/>
    <m/>
    <m/>
    <m/>
    <m/>
    <m/>
    <m/>
    <m/>
    <m/>
    <m/>
    <m/>
    <m/>
    <m/>
    <m/>
    <m/>
    <m/>
  </r>
  <r>
    <m/>
    <x v="35"/>
    <s v="ITTA"/>
    <s v="% de empleados=  (# de empleados que asisten a un taller ambiental)/(# total de empleados )  x 100"/>
    <s v="≥90%"/>
    <s v="≥80%"/>
    <s v="Trimestral"/>
    <m/>
    <m/>
    <m/>
    <m/>
    <m/>
    <m/>
    <m/>
    <m/>
    <m/>
    <m/>
    <n v="0.54"/>
    <n v="0.91"/>
    <n v="1"/>
    <n v="0"/>
    <n v="0"/>
    <m/>
    <m/>
    <m/>
    <m/>
    <m/>
    <m/>
    <m/>
    <m/>
    <m/>
    <m/>
    <n v="0.56999999999999995"/>
    <n v="0.91"/>
    <n v="1"/>
    <n v="0.54"/>
    <m/>
    <m/>
    <m/>
    <m/>
    <m/>
    <m/>
    <m/>
    <m/>
    <m/>
    <m/>
    <m/>
    <n v="0.56000000000000005"/>
    <n v="0.82"/>
    <n v="1"/>
    <n v="0.55000000000000004"/>
    <m/>
    <m/>
    <m/>
    <m/>
    <m/>
    <m/>
    <m/>
    <m/>
    <m/>
    <m/>
    <m/>
    <m/>
    <m/>
    <m/>
    <m/>
    <m/>
  </r>
  <r>
    <m/>
    <x v="36"/>
    <s v="IDJUL"/>
    <s v="(ICOL*10%)  + (ICFSA*5%) + (IRCE*2,5%) + (IRCA*2,5%)+ (ICRR*5%) + (ICPMON*5%) + (ICLMPG*10%) + (ICLMPA*10%) + (ICPMA*20%) + (ICAC*10%) + (IGPQLBIO*5%) + (IER*5%) + (ITECA*5%) + (ITTA*5%)"/>
    <m/>
    <s v="≥80%"/>
    <s v="Trimestral"/>
    <m/>
    <m/>
    <m/>
    <m/>
    <m/>
    <m/>
    <m/>
    <m/>
    <m/>
    <m/>
    <n v="0.67"/>
    <n v="0.69"/>
    <n v="0.71"/>
    <n v="0"/>
    <n v="0"/>
    <m/>
    <m/>
    <m/>
    <m/>
    <m/>
    <m/>
    <m/>
    <m/>
    <m/>
    <m/>
    <n v="0.71"/>
    <n v="0.74"/>
    <n v="0.82"/>
    <n v="0.34"/>
    <m/>
    <m/>
    <m/>
    <m/>
    <m/>
    <m/>
    <m/>
    <m/>
    <m/>
    <m/>
    <m/>
    <n v="0.84"/>
    <n v="0.78"/>
    <n v="0.76"/>
    <n v="0.34"/>
    <m/>
    <m/>
    <m/>
    <m/>
    <m/>
    <m/>
    <m/>
    <m/>
    <m/>
    <m/>
    <m/>
    <m/>
    <m/>
    <m/>
    <m/>
    <m/>
  </r>
  <r>
    <s v="RELACIONES COMUNITARIAS_x000a_RRCC"/>
    <x v="37"/>
    <s v="ICMOL_x000a_BV-TBG"/>
    <s v="[(# de personal local contratado/ # total de personal contratado)] X 100"/>
    <s v="≥ 70%"/>
    <s v="≥ 7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0.8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</r>
  <r>
    <m/>
    <x v="38"/>
    <s v="ICMOL PEC"/>
    <s v="[(# de personal local contratado/ # total de personal contratado)] X 101"/>
    <s v="≥ 70%"/>
    <s v="≥ 70%"/>
    <s v="Mensual"/>
    <m/>
    <n v="0.7"/>
    <m/>
    <m/>
    <m/>
    <m/>
    <n v="0.7"/>
    <m/>
    <m/>
    <m/>
    <m/>
    <n v="0.8"/>
    <m/>
    <m/>
    <m/>
    <m/>
    <n v="0.8"/>
    <m/>
    <m/>
    <m/>
    <m/>
    <n v="0.8"/>
    <m/>
    <m/>
    <m/>
    <m/>
    <n v="0.65"/>
    <m/>
    <m/>
    <m/>
    <m/>
    <n v="0.8"/>
    <m/>
    <m/>
    <m/>
    <m/>
    <n v="0.8"/>
    <m/>
    <m/>
    <m/>
    <m/>
    <n v="0.8"/>
    <m/>
    <m/>
    <m/>
    <m/>
    <n v="0.8"/>
    <m/>
    <m/>
    <m/>
    <m/>
    <n v="0.8"/>
    <m/>
    <m/>
    <m/>
    <m/>
    <m/>
    <m/>
    <m/>
    <m/>
  </r>
  <r>
    <m/>
    <x v="39"/>
    <s v="ICSL"/>
    <s v="[(# de servicios locales contratados/ # total de servicios contratados)] X 100"/>
    <s v="≥ 70%"/>
    <s v="≥ 7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</r>
  <r>
    <m/>
    <x v="40"/>
    <s v="IIRPC"/>
    <s v="[(# de Inducciones realizadas/ # total de Inducciones solicitadas)] X 100"/>
    <s v="≥ 90%"/>
    <s v="≥ 9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</r>
  <r>
    <m/>
    <x v="41"/>
    <s v="IGCS"/>
    <s v="[(# de Conflictos sociales resueltos/ # total de Conflictos sociales presentados)] X 100"/>
    <s v="≥ 90%"/>
    <s v="≥ 90%"/>
    <s v="Trimestral"/>
    <m/>
    <m/>
    <m/>
    <m/>
    <m/>
    <m/>
    <n v="1"/>
    <m/>
    <m/>
    <m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</r>
  <r>
    <m/>
    <x v="42"/>
    <s v="ICSR"/>
    <s v="[(# de caracterizaciones sociales realizadas/ # total de caracterizaciones sociales requeridas)] X 100"/>
    <s v="≥ 90%"/>
    <s v="≥ 90%"/>
    <s v="Semestral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QA / QC_x000a_OPERACIONES VINITA"/>
    <x v="43"/>
    <s v="IIB"/>
    <s v="#de ítems &quot;B&quot; cerrados (IBC) / # total de ítems &quot;B&quot; levantados (TIB)"/>
    <s v="≥ 30%"/>
    <s v="≥ 30%"/>
    <s v="Mensual"/>
    <m/>
    <n v="1"/>
    <m/>
    <m/>
    <m/>
    <m/>
    <n v="0.52"/>
    <m/>
    <m/>
    <m/>
    <m/>
    <n v="0.84"/>
    <m/>
    <m/>
    <m/>
    <m/>
    <n v="0.92"/>
    <m/>
    <m/>
    <m/>
    <m/>
    <n v="0.92"/>
    <m/>
    <m/>
    <m/>
    <m/>
    <n v="0.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4"/>
    <s v="IPNC"/>
    <s v="#de PNCs Levantados(NCL) / # de desviaciones observadas (DO)"/>
    <s v="≥ 10%"/>
    <s v="≥ 1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5"/>
    <s v="IDP&amp;C"/>
    <s v="# Dossiers Aprobados de PRF&amp;CPI (IDP)  / # Dossiers Totales de PRF&amp;CPI(DTP)"/>
    <s v="≥ 50%"/>
    <s v="≥ 50%"/>
    <s v="Mensual"/>
    <m/>
    <n v="0.7"/>
    <m/>
    <m/>
    <m/>
    <m/>
    <n v="0.75"/>
    <m/>
    <m/>
    <m/>
    <m/>
    <n v="0.8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6"/>
    <s v="IDES"/>
    <s v="# Dossiers Aprobados de Equipos de Superficie (IDES)  / # Dossiers Totales de Equipos de Superficie(DTES)"/>
    <s v="≥ 50%"/>
    <s v="≥ 50%"/>
    <s v="Mensual"/>
    <m/>
    <n v="1"/>
    <m/>
    <m/>
    <m/>
    <m/>
    <n v="0.75"/>
    <m/>
    <m/>
    <m/>
    <m/>
    <n v="0.8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7"/>
    <s v="IEL"/>
    <s v="# Liberaciones Realizadas a tiempo (LR)/ Total de equipos &amp;Herramientas requeridas por pozo (TL)"/>
    <s v="≥ 80%"/>
    <s v="≥ 8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QA / QC_x000a_BASE COCA"/>
    <x v="48"/>
    <s v="IVH"/>
    <s v="# de PNC´s levantadas (NCL)  / # desviaciones observadas (DO)"/>
    <s v="≤ 25%"/>
    <s v="≥ 1"/>
    <s v="Mensual por punch list"/>
    <n v="1"/>
    <m/>
    <m/>
    <m/>
    <m/>
    <n v="2"/>
    <m/>
    <m/>
    <m/>
    <m/>
    <n v="1"/>
    <m/>
    <m/>
    <m/>
    <m/>
    <n v="0.01"/>
    <m/>
    <m/>
    <m/>
    <m/>
    <n v="0"/>
    <m/>
    <m/>
    <m/>
    <m/>
    <n v="0.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9"/>
    <s v="IVH"/>
    <s v="# Inspecciones Vencidas (IV)  / # Inspecciones Totales de Herramientas (ITH)"/>
    <s v="≤ 25%"/>
    <s v="≤ 25%"/>
    <s v="Mensual"/>
    <n v="9.5799999999999996E-2"/>
    <m/>
    <m/>
    <m/>
    <m/>
    <n v="0.13739999999999999"/>
    <m/>
    <m/>
    <m/>
    <m/>
    <n v="0.1101"/>
    <m/>
    <m/>
    <m/>
    <m/>
    <n v="0.1191"/>
    <m/>
    <m/>
    <m/>
    <m/>
    <n v="0.1426"/>
    <m/>
    <m/>
    <m/>
    <m/>
    <n v="0.10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50"/>
    <s v="IVDP"/>
    <s v="# Inspecciones Vencidas (IVDP)  / # Inspecciones Totales de Sartas (ITS)"/>
    <s v="≤ 30%"/>
    <s v="≤ 30%"/>
    <s v="Mensual"/>
    <n v="0"/>
    <m/>
    <m/>
    <m/>
    <m/>
    <n v="0.1429"/>
    <m/>
    <m/>
    <m/>
    <m/>
    <n v="0.28570000000000001"/>
    <m/>
    <m/>
    <m/>
    <m/>
    <n v="0.25"/>
    <m/>
    <m/>
    <m/>
    <m/>
    <n v="0.125"/>
    <m/>
    <m/>
    <m/>
    <m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s v="SEGURIDAD INDUSTRIAL"/>
    <x v="0"/>
    <s v="IF"/>
    <s v="(#de incidentes LTI x 200000) / (# de horas hombre reales trabajadas)"/>
    <s v="&lt; 1.27"/>
    <s v="&lt; 0,94"/>
    <s v="Mensual_x000a_(Acumulado)"/>
    <n v="0"/>
    <n v="0"/>
    <n v="0"/>
    <n v="0"/>
    <n v="0"/>
    <n v="0"/>
    <n v="0"/>
    <n v="0"/>
    <n v="0"/>
    <n v="0"/>
    <n v="0.45"/>
    <n v="0"/>
    <n v="0"/>
    <n v="0"/>
    <n v="0"/>
    <n v="1.02"/>
    <n v="0"/>
    <n v="0"/>
    <n v="0"/>
    <n v="0"/>
    <n v="0.8"/>
    <n v="0"/>
    <n v="0"/>
    <n v="0"/>
    <m/>
    <n v="0.68"/>
    <n v="0"/>
    <n v="0"/>
    <n v="0"/>
    <m/>
    <n v="0.57999999999999996"/>
    <n v="0"/>
    <n v="0"/>
    <n v="0"/>
    <m/>
    <n v="0.65"/>
    <n v="1.1399999999999999"/>
    <n v="0"/>
    <n v="0"/>
    <m/>
    <n v="0.56999999999999995"/>
    <n v="0.95"/>
    <n v="0"/>
    <n v="0"/>
    <m/>
    <n v="0.50800000000000001"/>
    <n v="0.8"/>
    <n v="0"/>
    <n v="0"/>
    <m/>
    <n v="0.47"/>
    <n v="0.77"/>
    <n v="0"/>
    <n v="0"/>
    <m/>
    <m/>
    <m/>
    <m/>
    <m/>
    <m/>
  </r>
  <r>
    <n v="2"/>
    <m/>
    <x v="1"/>
    <s v="IG"/>
    <s v="(#de días perdidos x 200000) / (# de horas hombre reales trabajadas)"/>
    <m/>
    <s v="≤ 15,59"/>
    <s v="Mensual"/>
    <n v="0"/>
    <n v="0"/>
    <n v="0"/>
    <n v="0"/>
    <n v="0"/>
    <n v="0"/>
    <n v="0"/>
    <n v="0"/>
    <n v="0"/>
    <n v="0"/>
    <n v="2.2599999999999998"/>
    <n v="0"/>
    <n v="0"/>
    <n v="0"/>
    <n v="0"/>
    <n v="13.22"/>
    <n v="0"/>
    <n v="0"/>
    <n v="0"/>
    <n v="0"/>
    <n v="12.4"/>
    <n v="0"/>
    <n v="0"/>
    <n v="0"/>
    <m/>
    <n v="10.4"/>
    <n v="0"/>
    <n v="0"/>
    <n v="0"/>
    <m/>
    <n v="8.84"/>
    <n v="0"/>
    <n v="0"/>
    <n v="0"/>
    <m/>
    <n v="10.91"/>
    <n v="189.28"/>
    <n v="0"/>
    <n v="0"/>
    <m/>
    <n v="9.58"/>
    <n v="155.65"/>
    <n v="0"/>
    <n v="0"/>
    <m/>
    <n v="8.5120000000000005"/>
    <n v="131.51"/>
    <n v="0"/>
    <n v="0"/>
    <m/>
    <n v="7.79"/>
    <n v="126.21"/>
    <n v="0"/>
    <n v="0"/>
    <m/>
    <m/>
    <m/>
    <m/>
    <m/>
    <m/>
  </r>
  <r>
    <n v="3"/>
    <m/>
    <x v="2"/>
    <s v="TR"/>
    <s v="ÍnDICe de gravedad /ÍnDICe de frecuencia"/>
    <m/>
    <s v="≤ 27,4"/>
    <s v="Mensual"/>
    <n v="0"/>
    <n v="0"/>
    <n v="0"/>
    <n v="0"/>
    <n v="0"/>
    <n v="0"/>
    <n v="0"/>
    <n v="0"/>
    <n v="0"/>
    <n v="0"/>
    <n v="5"/>
    <n v="0"/>
    <n v="0"/>
    <n v="0"/>
    <n v="0"/>
    <n v="13"/>
    <n v="0"/>
    <n v="0"/>
    <n v="0"/>
    <n v="0"/>
    <n v="15.5"/>
    <n v="0"/>
    <n v="0"/>
    <n v="0"/>
    <m/>
    <n v="15.33"/>
    <n v="0"/>
    <n v="0"/>
    <n v="0"/>
    <m/>
    <n v="15.32"/>
    <n v="0"/>
    <n v="0"/>
    <n v="0"/>
    <m/>
    <n v="16.75"/>
    <n v="164"/>
    <n v="0"/>
    <n v="0"/>
    <m/>
    <n v="16.739999999999998"/>
    <n v="164"/>
    <n v="0"/>
    <n v="0"/>
    <m/>
    <n v="16.75"/>
    <n v="164"/>
    <n v="0"/>
    <n v="0"/>
    <m/>
    <n v="16.75"/>
    <n v="164"/>
    <n v="0"/>
    <n v="0"/>
    <m/>
    <m/>
    <m/>
    <m/>
    <m/>
    <m/>
  </r>
  <r>
    <n v="4"/>
    <m/>
    <x v="3"/>
    <s v="MCV"/>
    <s v="MCV= (1000000 * # de Accidentes vehiculares) / (Total de kilómetros recorridos)"/>
    <s v="≤ 1,8"/>
    <s v="≤ 0,8"/>
    <s v="Mensu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m/>
    <n v="0"/>
    <n v="0"/>
    <n v="0.54"/>
    <n v="0"/>
    <m/>
    <n v="0"/>
    <n v="0"/>
    <n v="0.48"/>
    <n v="0"/>
    <m/>
    <n v="0"/>
    <n v="0"/>
    <n v="0.42"/>
    <n v="0"/>
    <m/>
    <n v="0"/>
    <n v="0"/>
    <n v="0.36"/>
    <n v="0"/>
    <m/>
    <n v="0"/>
    <n v="0"/>
    <n v="0.32"/>
    <n v="0"/>
    <m/>
    <m/>
    <m/>
    <m/>
    <m/>
    <m/>
  </r>
  <r>
    <n v="5"/>
    <m/>
    <x v="4"/>
    <s v="TC"/>
    <s v="tarjetas realizadas/ # tarjetas planificadas (48) "/>
    <s v="(100%)_x000a_≥ 48 "/>
    <s v="(100%)_x000a_≥ 48 "/>
    <s v="Mensual"/>
    <n v="0.94"/>
    <n v="1"/>
    <n v="0.8"/>
    <s v="N/A"/>
    <n v="0"/>
    <n v="0.96"/>
    <n v="1"/>
    <n v="0.12"/>
    <s v="N/A"/>
    <n v="0"/>
    <n v="0.94"/>
    <n v="1"/>
    <n v="0.64"/>
    <s v="N/A"/>
    <n v="0"/>
    <n v="0.94"/>
    <n v="1"/>
    <n v="0.2"/>
    <s v="N/A"/>
    <n v="0"/>
    <n v="0.94"/>
    <n v="1"/>
    <n v="0.8"/>
    <n v="0.08"/>
    <m/>
    <n v="0.92"/>
    <n v="1"/>
    <n v="0.79"/>
    <n v="0.39"/>
    <m/>
    <n v="0.91"/>
    <n v="1"/>
    <n v="0.6"/>
    <n v="0.61"/>
    <m/>
    <n v="0.73"/>
    <n v="1"/>
    <n v="1"/>
    <n v="0.56000000000000005"/>
    <m/>
    <n v="0.59"/>
    <n v="1"/>
    <n v="0.32"/>
    <n v="0.6"/>
    <m/>
    <n v="0.54159999999999997"/>
    <n v="1"/>
    <n v="0.68"/>
    <n v="0.6"/>
    <m/>
    <n v="0.52"/>
    <n v="1"/>
    <n v="0.6"/>
    <n v="0.57999999999999996"/>
    <m/>
    <m/>
    <m/>
    <m/>
    <m/>
    <m/>
  </r>
  <r>
    <n v="6"/>
    <m/>
    <x v="5"/>
    <s v="CTC"/>
    <s v="((# de tarjetas cerradas)/(#. de tarjetas levantadas))*100"/>
    <s v="≥ 80 %"/>
    <s v="≥ 75 %"/>
    <s v="Mensual"/>
    <n v="0.88"/>
    <n v="0.92"/>
    <n v="0.78"/>
    <s v="N/A"/>
    <n v="0"/>
    <n v="0.9"/>
    <n v="0.84"/>
    <n v="1"/>
    <s v="N/A"/>
    <n v="0"/>
    <n v="0.89"/>
    <n v="0.8"/>
    <n v="0.91666666666666663"/>
    <s v="N/A"/>
    <n v="0"/>
    <n v="0.9"/>
    <n v="0.8"/>
    <n v="1"/>
    <s v="N/A"/>
    <n v="0"/>
    <n v="0.89"/>
    <n v="1"/>
    <n v="0.9"/>
    <n v="1"/>
    <m/>
    <n v="0.88"/>
    <n v="0.79"/>
    <n v="0.95"/>
    <n v="0.5"/>
    <m/>
    <n v="0.88"/>
    <n v="0.75"/>
    <n v="0.93"/>
    <n v="0.59"/>
    <m/>
    <n v="0.74"/>
    <n v="0.8"/>
    <n v="0.96"/>
    <n v="0.3"/>
    <m/>
    <n v="0.54"/>
    <n v="0.92"/>
    <n v="1"/>
    <n v="0.59"/>
    <m/>
    <n v="0.96150000000000002"/>
    <n v="0.9"/>
    <n v="1"/>
    <n v="0.59"/>
    <m/>
    <n v="0.9"/>
    <n v="0.94"/>
    <n v="1"/>
    <n v="0.56999999999999995"/>
    <m/>
    <m/>
    <m/>
    <m/>
    <m/>
    <m/>
  </r>
  <r>
    <n v="7"/>
    <m/>
    <x v="6"/>
    <s v="ART"/>
    <s v="# Análisis de Riesgo de Tarea (ATS) realizado  / # Análisis de Riesgo de Tarea (ATS) requerido"/>
    <s v="≥ 80 %"/>
    <s v="≥ 80 %"/>
    <s v="Mensual"/>
    <n v="1"/>
    <n v="1"/>
    <n v="1"/>
    <n v="1"/>
    <n v="1"/>
    <n v="1"/>
    <n v="1"/>
    <n v="1"/>
    <n v="0.98"/>
    <n v="1"/>
    <n v="1"/>
    <n v="1"/>
    <n v="1"/>
    <n v="0.98"/>
    <n v="1"/>
    <n v="1"/>
    <n v="1"/>
    <n v="1"/>
    <n v="0.98"/>
    <n v="0.98"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n v="1"/>
    <n v="1"/>
    <n v="1"/>
    <n v="0.98"/>
    <m/>
    <m/>
    <m/>
    <m/>
    <m/>
    <m/>
  </r>
  <r>
    <n v="8"/>
    <m/>
    <x v="7"/>
    <s v="OPAS"/>
    <s v="# Inspecciones de trabajo realizada  / # Inspecciones de trabajo planificada"/>
    <s v="≥ 80 %"/>
    <s v="≥ 80 %"/>
    <s v="Mensual"/>
    <n v="0.98"/>
    <n v="1"/>
    <n v="1"/>
    <n v="1"/>
    <n v="1"/>
    <n v="0.98"/>
    <n v="1"/>
    <n v="1"/>
    <n v="0.98"/>
    <n v="1"/>
    <n v="0.98"/>
    <n v="1"/>
    <n v="1"/>
    <n v="0.96"/>
    <n v="1"/>
    <n v="0.98"/>
    <n v="1"/>
    <n v="1"/>
    <n v="0.97"/>
    <n v="0.99"/>
    <n v="0.98"/>
    <n v="1"/>
    <n v="1"/>
    <n v="0.96"/>
    <m/>
    <n v="0.97"/>
    <n v="1"/>
    <n v="1"/>
    <n v="0.93"/>
    <m/>
    <n v="0.97"/>
    <n v="1"/>
    <n v="1"/>
    <n v="0.93"/>
    <m/>
    <n v="0.97"/>
    <n v="1"/>
    <n v="1"/>
    <n v="0.93"/>
    <m/>
    <n v="0.97"/>
    <n v="1"/>
    <n v="1"/>
    <n v="0.94"/>
    <m/>
    <n v="0.97"/>
    <n v="1"/>
    <n v="1"/>
    <n v="0.94"/>
    <m/>
    <n v="0.98"/>
    <n v="1"/>
    <n v="1"/>
    <n v="0.94"/>
    <m/>
    <m/>
    <m/>
    <m/>
    <m/>
    <m/>
  </r>
  <r>
    <n v="9"/>
    <m/>
    <x v="8"/>
    <s v="IDPS"/>
    <s v="((# Capac. realizadas/ #Capac. programadas) / (# de pers. asistentes / #de pers. programadas))"/>
    <s v="≥ 80 %"/>
    <s v="≥ 80 %"/>
    <s v="Mensual"/>
    <n v="0.98"/>
    <n v="0.9"/>
    <n v="0.92"/>
    <n v="1"/>
    <n v="1"/>
    <n v="0.98"/>
    <n v="0.9"/>
    <n v="0.94669999999999999"/>
    <n v="1"/>
    <n v="1"/>
    <n v="0.98"/>
    <n v="0.9"/>
    <n v="0.82222222222222219"/>
    <n v="1"/>
    <n v="1"/>
    <n v="0.98"/>
    <n v="0.9"/>
    <n v="0.94699999999999995"/>
    <n v="0.99"/>
    <n v="0.98"/>
    <n v="0.98"/>
    <n v="0.9"/>
    <n v="0.90700000000000003"/>
    <n v="0.98"/>
    <m/>
    <n v="0.98"/>
    <n v="0.9"/>
    <n v="0.93300000000000005"/>
    <n v="0.97"/>
    <m/>
    <n v="0.98"/>
    <n v="0.91"/>
    <n v="0.92"/>
    <n v="0.97"/>
    <m/>
    <n v="0.98"/>
    <n v="0.88"/>
    <n v="0.94699999999999995"/>
    <n v="0.97"/>
    <m/>
    <n v="0.98"/>
    <n v="0.86"/>
    <n v="0.88800000000000001"/>
    <n v="0.96"/>
    <m/>
    <n v="0.98"/>
    <n v="0.88"/>
    <n v="0.98"/>
    <n v="0.96"/>
    <m/>
    <n v="0.98"/>
    <n v="0.86"/>
    <n v="0.94299999999999995"/>
    <n v="0.96"/>
    <m/>
    <m/>
    <m/>
    <m/>
    <m/>
    <m/>
  </r>
  <r>
    <n v="10"/>
    <m/>
    <x v="9"/>
    <s v="IDS"/>
    <s v="# ConDICiones subestándar eliminadas / #ConDICiones subestándar identificadas"/>
    <s v="≥ 80 %"/>
    <s v="≥ 80 %"/>
    <s v="Mensual"/>
    <n v="0.96"/>
    <n v="1"/>
    <n v="0.91700000000000004"/>
    <n v="1"/>
    <n v="1"/>
    <n v="0.96"/>
    <n v="1"/>
    <n v="0.66600000000000004"/>
    <n v="1"/>
    <n v="1"/>
    <n v="0.95"/>
    <n v="0.8"/>
    <n v="0.9375"/>
    <n v="1"/>
    <n v="1"/>
    <n v="0.96"/>
    <n v="0.8"/>
    <n v="1"/>
    <n v="1"/>
    <n v="0.98"/>
    <n v="0.95"/>
    <n v="1"/>
    <n v="0.79"/>
    <n v="1"/>
    <m/>
    <n v="0.95"/>
    <n v="1"/>
    <n v="1"/>
    <n v="0.98"/>
    <m/>
    <n v="1"/>
    <n v="1"/>
    <n v="0.90900000000000003"/>
    <n v="0.98"/>
    <m/>
    <n v="0.98"/>
    <n v="1"/>
    <n v="1"/>
    <n v="0.98"/>
    <m/>
    <n v="0.97"/>
    <n v="1"/>
    <n v="1"/>
    <n v="0.98"/>
    <m/>
    <n v="0.97"/>
    <n v="1"/>
    <n v="1"/>
    <n v="0.98"/>
    <m/>
    <n v="0.97"/>
    <n v="1"/>
    <n v="1"/>
    <n v="0.97"/>
    <m/>
    <m/>
    <m/>
    <m/>
    <m/>
    <m/>
  </r>
  <r>
    <n v="11"/>
    <m/>
    <x v="10"/>
    <s v="IENTS"/>
    <s v="# Entrenamientos realizados / # Entrenamiento planificados"/>
    <s v="≥ 80 %"/>
    <s v="≥ 80 %"/>
    <s v="Mensual"/>
    <n v="0.96"/>
    <n v="1"/>
    <n v="0.92900000000000005"/>
    <n v="1"/>
    <n v="1"/>
    <n v="0.96"/>
    <n v="1"/>
    <n v="0.88400000000000001"/>
    <n v="0.96"/>
    <n v="1"/>
    <n v="0.96"/>
    <n v="1"/>
    <n v="0.87060000000000004"/>
    <n v="0.96"/>
    <n v="1"/>
    <n v="0.96"/>
    <n v="1"/>
    <n v="0.871"/>
    <n v="0.97"/>
    <n v="0.99"/>
    <n v="0.96"/>
    <n v="1"/>
    <n v="0.85499999999999998"/>
    <n v="0.97"/>
    <m/>
    <n v="0.96"/>
    <n v="0.8"/>
    <n v="0.82399999999999995"/>
    <n v="0.96"/>
    <m/>
    <n v="0.95"/>
    <n v="1"/>
    <n v="0.84699999999999998"/>
    <n v="0.97"/>
    <m/>
    <n v="0.96"/>
    <n v="1"/>
    <n v="0.85899999999999999"/>
    <n v="0.97"/>
    <m/>
    <n v="0.97"/>
    <n v="1"/>
    <n v="1"/>
    <n v="0.96"/>
    <m/>
    <n v="0.97"/>
    <n v="1"/>
    <n v="0.98"/>
    <n v="0.97"/>
    <m/>
    <n v="0.97"/>
    <n v="1"/>
    <n v="0.91400000000000003"/>
    <n v="0.96"/>
    <m/>
    <m/>
    <m/>
    <m/>
    <m/>
    <m/>
  </r>
  <r>
    <n v="12"/>
    <m/>
    <x v="11"/>
    <s v="OSEA "/>
    <s v="#Permisos de trabajo realizados / # Permiso de necesarios "/>
    <s v="≥ 80 %"/>
    <s v="≥ 80 %"/>
    <s v="Mensual"/>
    <n v="0.99"/>
    <n v="1"/>
    <n v="1"/>
    <n v="1"/>
    <n v="1"/>
    <n v="1"/>
    <n v="1"/>
    <n v="1"/>
    <n v="0.96"/>
    <n v="1"/>
    <n v="0.99"/>
    <n v="1"/>
    <n v="1"/>
    <n v="0.94"/>
    <n v="1"/>
    <n v="0.99"/>
    <n v="1"/>
    <n v="1"/>
    <n v="0.95"/>
    <n v="0.98"/>
    <n v="0.99"/>
    <n v="1"/>
    <n v="1"/>
    <n v="0.95"/>
    <m/>
    <n v="0.99"/>
    <n v="1"/>
    <n v="1"/>
    <n v="0.95"/>
    <m/>
    <n v="0.99"/>
    <n v="1"/>
    <n v="1"/>
    <n v="0.96"/>
    <m/>
    <n v="0.99"/>
    <n v="1"/>
    <n v="1"/>
    <n v="0.95"/>
    <m/>
    <n v="0.98"/>
    <n v="1"/>
    <n v="1"/>
    <n v="0.95"/>
    <m/>
    <n v="0.98"/>
    <n v="1"/>
    <n v="1"/>
    <n v="0.95"/>
    <m/>
    <n v="0.98"/>
    <n v="1"/>
    <n v="1"/>
    <n v="0.95"/>
    <m/>
    <m/>
    <m/>
    <m/>
    <m/>
    <m/>
  </r>
  <r>
    <n v="13"/>
    <m/>
    <x v="12"/>
    <s v="CAI"/>
    <s v="# de Actividades de Planes de acciones cerradas / # de Actividades de Planes de acciones establecidas"/>
    <s v="≥ 80 %"/>
    <s v="≥ 80 %"/>
    <s v="Mensual"/>
    <n v="0.9"/>
    <n v="1"/>
    <n v="0.83299999999999996"/>
    <n v="1"/>
    <n v="1"/>
    <n v="0.94"/>
    <n v="1"/>
    <n v="0.87509999999999999"/>
    <n v="1"/>
    <n v="1"/>
    <n v="0.95"/>
    <n v="1"/>
    <n v="1"/>
    <n v="1"/>
    <n v="1"/>
    <n v="0.94"/>
    <n v="1"/>
    <n v="1"/>
    <n v="1"/>
    <n v="0.98"/>
    <n v="0.94"/>
    <n v="1"/>
    <n v="0.92900000000000005"/>
    <n v="1"/>
    <m/>
    <n v="0.91"/>
    <n v="1"/>
    <n v="1"/>
    <n v="1"/>
    <m/>
    <n v="0.92"/>
    <n v="1"/>
    <n v="1"/>
    <n v="1"/>
    <m/>
    <n v="0.82"/>
    <n v="1"/>
    <n v="1"/>
    <n v="1"/>
    <m/>
    <n v="0.89"/>
    <n v="1"/>
    <n v="1"/>
    <n v="1"/>
    <m/>
    <n v="0.84"/>
    <n v="1"/>
    <n v="1"/>
    <n v="1"/>
    <m/>
    <n v="0.89"/>
    <n v="1"/>
    <n v="1"/>
    <n v="1"/>
    <m/>
    <m/>
    <m/>
    <m/>
    <m/>
    <m/>
  </r>
  <r>
    <n v="14"/>
    <m/>
    <x v="13"/>
    <s v="I G"/>
    <s v="((5 * ART) + (3*OPAS) + (2*IDPS) + (3*IDS) + (IENTS) + (4*OSEA) + (4*CAI)) / 22"/>
    <s v="≥ 80 %"/>
    <s v="≥ 80 %"/>
    <s v="Mensual"/>
    <n v="0.97"/>
    <n v="0.99"/>
    <n v="0.94799999999999995"/>
    <n v="1"/>
    <n v="1"/>
    <n v="0.98"/>
    <n v="0.99"/>
    <n v="0.91839999999999999"/>
    <n v="0.98"/>
    <n v="1"/>
    <n v="0.98"/>
    <n v="0.96"/>
    <n v="0.96940000000000004"/>
    <n v="0.98"/>
    <n v="1"/>
    <n v="0.98"/>
    <n v="0.96"/>
    <n v="0.98299999999999998"/>
    <n v="0.98"/>
    <n v="0.98"/>
    <n v="0.97"/>
    <n v="0.98"/>
    <n v="0.94199999999999995"/>
    <n v="0.98"/>
    <m/>
    <n v="0.97"/>
    <n v="0.98"/>
    <n v="0.98599999999999999"/>
    <n v="0.97"/>
    <m/>
    <n v="0.98"/>
    <n v="0.99"/>
    <n v="0.97299999999999998"/>
    <n v="0.97"/>
    <m/>
    <n v="0.96"/>
    <n v="0.98"/>
    <n v="0.98899999999999999"/>
    <n v="0.97"/>
    <m/>
    <n v="0.96499999999999997"/>
    <n v="0.98"/>
    <n v="0.99"/>
    <n v="0.97"/>
    <m/>
    <n v="0.96"/>
    <n v="0.98"/>
    <n v="0.998"/>
    <n v="0.97"/>
    <m/>
    <n v="0.96640000000000004"/>
    <n v="0.98"/>
    <n v="0.99099999999999999"/>
    <n v="0.96860000000000002"/>
    <m/>
    <m/>
    <m/>
    <m/>
    <m/>
    <m/>
  </r>
  <r>
    <n v="1"/>
    <s v="SALUD OCUPACIONAL"/>
    <x v="14"/>
    <s v="IEP"/>
    <s v="(#enfermedades Ocup. X 1000) / (# de trabajadores)"/>
    <s v="≤ 5"/>
    <s v="≤ 5"/>
    <s v="Trimestral"/>
    <m/>
    <m/>
    <m/>
    <m/>
    <m/>
    <m/>
    <m/>
    <m/>
    <m/>
    <m/>
    <n v="0"/>
    <n v="0"/>
    <n v="0"/>
    <n v="0"/>
    <n v="0"/>
    <m/>
    <m/>
    <m/>
    <m/>
    <m/>
    <m/>
    <m/>
    <m/>
    <m/>
    <m/>
    <n v="0"/>
    <n v="0"/>
    <n v="0"/>
    <n v="0"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m/>
    <m/>
  </r>
  <r>
    <n v="2"/>
    <m/>
    <x v="15"/>
    <s v="IEO"/>
    <s v="( (#exámenes Ocup.  ejecutados) / (# de trabajadores planificados) ) x  100"/>
    <s v="≥ 90%"/>
    <s v="≥ 90%"/>
    <s v="Trimestral"/>
    <m/>
    <m/>
    <m/>
    <m/>
    <n v="1"/>
    <m/>
    <m/>
    <m/>
    <m/>
    <m/>
    <n v="1"/>
    <n v="1"/>
    <n v="1"/>
    <n v="1"/>
    <n v="1"/>
    <m/>
    <m/>
    <m/>
    <m/>
    <m/>
    <m/>
    <m/>
    <m/>
    <m/>
    <m/>
    <n v="0.90910000000000002"/>
    <n v="1"/>
    <n v="1"/>
    <n v="1"/>
    <m/>
    <m/>
    <m/>
    <m/>
    <m/>
    <m/>
    <m/>
    <m/>
    <m/>
    <m/>
    <m/>
    <n v="0.98"/>
    <n v="1"/>
    <n v="1"/>
    <n v="1"/>
    <m/>
    <n v="0.9355"/>
    <m/>
    <m/>
    <m/>
    <m/>
    <m/>
    <m/>
    <m/>
    <m/>
    <m/>
    <m/>
    <m/>
    <m/>
    <m/>
    <m/>
  </r>
  <r>
    <n v="3"/>
    <m/>
    <x v="16"/>
    <s v="PVM"/>
    <s v="[(# Valoraciones méDICas realizadas/ # Valoraciones méDICas programadas)] X 100"/>
    <s v="≥ 90%"/>
    <s v="≥ 90%"/>
    <s v="Mensual"/>
    <n v="0.95250000000000001"/>
    <n v="0.9325"/>
    <n v="1"/>
    <n v="0.92500000000000004"/>
    <n v="1"/>
    <n v="0.92630000000000001"/>
    <n v="0.92"/>
    <n v="1"/>
    <n v="0.9375"/>
    <n v="1"/>
    <n v="0.95"/>
    <n v="0.96"/>
    <n v="1"/>
    <n v="1"/>
    <n v="1"/>
    <n v="1"/>
    <n v="1"/>
    <n v="1"/>
    <n v="0.9375"/>
    <n v="1"/>
    <n v="0.97629999999999995"/>
    <n v="0.96"/>
    <n v="1"/>
    <n v="1"/>
    <m/>
    <n v="0.91479999999999995"/>
    <n v="0.92"/>
    <n v="1"/>
    <n v="1"/>
    <m/>
    <n v="0.92110000000000003"/>
    <n v="1"/>
    <n v="1"/>
    <n v="0.9375"/>
    <m/>
    <n v="0.90910000000000002"/>
    <n v="1"/>
    <n v="1"/>
    <n v="1"/>
    <m/>
    <n v="1"/>
    <n v="0.92"/>
    <n v="1"/>
    <n v="0.9375"/>
    <m/>
    <n v="0.98680000000000001"/>
    <n v="0.96"/>
    <n v="1"/>
    <n v="0.9375"/>
    <m/>
    <n v="1"/>
    <n v="0.92"/>
    <n v="1"/>
    <n v="1"/>
    <m/>
    <m/>
    <m/>
    <m/>
    <m/>
    <m/>
  </r>
  <r>
    <n v="4"/>
    <m/>
    <x v="17"/>
    <m/>
    <s v="[(# Carnets de vacunas actualizadas/ # Carnets de vacunas programadas actualizar)] X 100"/>
    <m/>
    <s v="≥ 80%"/>
    <s v="Mensual"/>
    <n v="0.92749999999999999"/>
    <n v="0.95750000000000002"/>
    <n v="1"/>
    <n v="0.91"/>
    <m/>
    <n v="0.88"/>
    <n v="0.91"/>
    <n v="1"/>
    <n v="0.92859999999999998"/>
    <n v="0.97"/>
    <n v="0.91669999999999996"/>
    <n v="0.92"/>
    <n v="1"/>
    <n v="0.85709999999999997"/>
    <n v="0.98"/>
    <n v="0.84"/>
    <n v="0.81820000000000004"/>
    <n v="0.98"/>
    <n v="0.8"/>
    <n v="0.98"/>
    <n v="0.88570000000000004"/>
    <n v="0.91669999999999996"/>
    <n v="0.99"/>
    <n v="0.85709999999999997"/>
    <m/>
    <n v="1"/>
    <n v="0.90910000000000002"/>
    <n v="0.99"/>
    <n v="0.92859999999999998"/>
    <m/>
    <n v="1"/>
    <n v="0.90910000000000002"/>
    <n v="1"/>
    <n v="0.85709999999999997"/>
    <m/>
    <n v="1"/>
    <n v="0.90910000000000002"/>
    <n v="0.99"/>
    <n v="0.9"/>
    <m/>
    <n v="1"/>
    <n v="1"/>
    <s v="98/%"/>
    <n v="0.92310000000000003"/>
    <m/>
    <n v="1"/>
    <s v="91, 67%"/>
    <n v="0.99"/>
    <n v="0.92859999999999998"/>
    <m/>
    <n v="0.94"/>
    <n v="0.93330000000000002"/>
    <n v="0.99"/>
    <n v="0.86670000000000003"/>
    <m/>
    <m/>
    <m/>
    <m/>
    <m/>
    <m/>
  </r>
  <r>
    <n v="5"/>
    <m/>
    <x v="18"/>
    <s v="PCSSA"/>
    <s v="# Capacitaciones S.O.  realizados / # Capacitaciones S.O. s  planificados"/>
    <s v="≥ 80%"/>
    <s v="≥ 90%"/>
    <s v="Mensual"/>
    <n v="1"/>
    <n v="1"/>
    <n v="1"/>
    <n v="1"/>
    <n v="1"/>
    <n v="1"/>
    <n v="1"/>
    <n v="1"/>
    <n v="1"/>
    <n v="1"/>
    <n v="1"/>
    <n v="1"/>
    <n v="1"/>
    <n v="1"/>
    <n v="1"/>
    <n v="0.9"/>
    <n v="1"/>
    <n v="1"/>
    <n v="1"/>
    <n v="1"/>
    <n v="1"/>
    <n v="1"/>
    <n v="1"/>
    <n v="1"/>
    <m/>
    <n v="0.9"/>
    <n v="1"/>
    <n v="1"/>
    <n v="1"/>
    <m/>
    <n v="0.92"/>
    <n v="1"/>
    <n v="1"/>
    <n v="1"/>
    <m/>
    <n v="1"/>
    <n v="1"/>
    <n v="1"/>
    <n v="1"/>
    <m/>
    <n v="1"/>
    <n v="1"/>
    <n v="1"/>
    <n v="1"/>
    <m/>
    <n v="1"/>
    <n v="1"/>
    <n v="1"/>
    <n v="1"/>
    <m/>
    <n v="1"/>
    <n v="1"/>
    <n v="1"/>
    <n v="1"/>
    <m/>
    <m/>
    <m/>
    <m/>
    <m/>
    <m/>
  </r>
  <r>
    <n v="6"/>
    <m/>
    <x v="19"/>
    <s v="ESSO"/>
    <s v="# Entrenamientos y Simulacros  realizados / # Entrenamiento y Simulacros  planificados"/>
    <s v="≥ 90%"/>
    <s v="≥ 80%"/>
    <s v="Bimensual"/>
    <m/>
    <m/>
    <m/>
    <m/>
    <n v="1"/>
    <n v="1"/>
    <n v="1"/>
    <n v="1"/>
    <n v="1"/>
    <n v="1"/>
    <m/>
    <m/>
    <m/>
    <m/>
    <m/>
    <n v="1"/>
    <n v="1"/>
    <n v="1"/>
    <n v="1"/>
    <n v="1"/>
    <m/>
    <m/>
    <m/>
    <m/>
    <m/>
    <n v="0.85"/>
    <n v="1"/>
    <n v="1"/>
    <n v="1"/>
    <m/>
    <m/>
    <m/>
    <m/>
    <m/>
    <m/>
    <n v="0.9"/>
    <n v="1"/>
    <n v="1"/>
    <n v="1"/>
    <m/>
    <m/>
    <n v="1"/>
    <m/>
    <m/>
    <m/>
    <n v="1"/>
    <m/>
    <n v="1"/>
    <m/>
    <m/>
    <m/>
    <m/>
    <n v="1"/>
    <m/>
    <m/>
    <m/>
    <m/>
    <m/>
    <m/>
    <m/>
  </r>
  <r>
    <n v="7"/>
    <m/>
    <x v="20"/>
    <s v="IERL"/>
    <s v="[(# investigación a exposición de riesgos laborales. realizadas/ #investigación a exposición de riesgos laborales programadas)] X 100"/>
    <s v="≥ 90%"/>
    <s v="≥ 80%"/>
    <s v="Semestral"/>
    <m/>
    <m/>
    <m/>
    <m/>
    <m/>
    <m/>
    <m/>
    <m/>
    <m/>
    <m/>
    <m/>
    <m/>
    <m/>
    <m/>
    <m/>
    <m/>
    <m/>
    <m/>
    <m/>
    <m/>
    <m/>
    <m/>
    <m/>
    <m/>
    <m/>
    <n v="0.8"/>
    <n v="0.8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"/>
    <m/>
    <x v="21"/>
    <s v="PPS"/>
    <s v="# Programas de Promoción de la Salud  realizados / # Programas de Promoción de la Salud  planificados"/>
    <s v="≥ 80%"/>
    <s v="≥ 80%"/>
    <s v="Semestral"/>
    <m/>
    <m/>
    <m/>
    <m/>
    <m/>
    <m/>
    <m/>
    <m/>
    <m/>
    <m/>
    <m/>
    <m/>
    <m/>
    <m/>
    <m/>
    <m/>
    <m/>
    <m/>
    <m/>
    <m/>
    <m/>
    <m/>
    <m/>
    <m/>
    <m/>
    <n v="0.8"/>
    <n v="0.8"/>
    <n v="1"/>
    <n v="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"/>
    <s v="MEDIO AMBIENTE"/>
    <x v="22"/>
    <s v="ICOL"/>
    <s v="ICOL=  (puntuación obtenida en cada área)/(puntuación máxima posible (100))  x 100 "/>
    <s v="≥ 95%"/>
    <s v="≥ 80%"/>
    <s v="Trimestral"/>
    <m/>
    <m/>
    <m/>
    <m/>
    <m/>
    <m/>
    <m/>
    <m/>
    <m/>
    <m/>
    <n v="0.86"/>
    <n v="0.91"/>
    <n v="0.73"/>
    <n v="0"/>
    <n v="0"/>
    <m/>
    <m/>
    <m/>
    <m/>
    <m/>
    <m/>
    <m/>
    <m/>
    <m/>
    <m/>
    <n v="0.95"/>
    <n v="1"/>
    <n v="0.95"/>
    <n v="0.96"/>
    <m/>
    <m/>
    <m/>
    <m/>
    <m/>
    <m/>
    <m/>
    <m/>
    <m/>
    <m/>
    <m/>
    <n v="0.9"/>
    <n v="1"/>
    <n v="0.88"/>
    <n v="0.94"/>
    <m/>
    <m/>
    <m/>
    <m/>
    <m/>
    <m/>
    <m/>
    <m/>
    <m/>
    <m/>
    <m/>
    <m/>
    <m/>
    <m/>
    <m/>
    <m/>
  </r>
  <r>
    <n v="2"/>
    <m/>
    <x v="23"/>
    <s v="ICFSA"/>
    <s v="%=  (# de empleados que participan en capacitaciones ambientales)/(# total de empleados en turno)  x 100"/>
    <n v="1"/>
    <n v="0.8"/>
    <s v="Trimestral"/>
    <m/>
    <m/>
    <m/>
    <m/>
    <m/>
    <m/>
    <m/>
    <m/>
    <m/>
    <m/>
    <n v="0.9"/>
    <n v="0.77"/>
    <n v="0.93"/>
    <n v="0"/>
    <n v="0"/>
    <m/>
    <m/>
    <m/>
    <m/>
    <m/>
    <m/>
    <m/>
    <m/>
    <m/>
    <m/>
    <n v="0.96"/>
    <n v="0.87"/>
    <n v="1"/>
    <n v="0.9"/>
    <m/>
    <m/>
    <m/>
    <m/>
    <m/>
    <m/>
    <m/>
    <m/>
    <m/>
    <m/>
    <m/>
    <n v="0.96"/>
    <n v="0.81"/>
    <n v="1"/>
    <n v="0.9"/>
    <m/>
    <m/>
    <m/>
    <m/>
    <m/>
    <m/>
    <m/>
    <m/>
    <m/>
    <m/>
    <m/>
    <m/>
    <m/>
    <m/>
    <m/>
    <m/>
  </r>
  <r>
    <n v="3"/>
    <m/>
    <x v="24"/>
    <s v="IRCE"/>
    <s v="% reducción ENERGÍA=  (consumo anterior-consumo actual)/(consumo anterior)  x 100"/>
    <s v="reducción del 5% anual"/>
    <s v="reducción del 5% anual ó 1,25% x trimestre"/>
    <s v="Trimestral"/>
    <m/>
    <m/>
    <m/>
    <m/>
    <m/>
    <m/>
    <m/>
    <m/>
    <m/>
    <m/>
    <n v="0.2"/>
    <n v="0"/>
    <n v="0"/>
    <n v="0"/>
    <n v="0"/>
    <m/>
    <m/>
    <m/>
    <m/>
    <m/>
    <m/>
    <m/>
    <m/>
    <m/>
    <m/>
    <n v="0.1"/>
    <n v="0"/>
    <n v="0.8"/>
    <n v="1"/>
    <m/>
    <m/>
    <m/>
    <m/>
    <m/>
    <m/>
    <m/>
    <m/>
    <m/>
    <m/>
    <m/>
    <n v="1"/>
    <n v="0.8"/>
    <n v="1"/>
    <n v="1"/>
    <m/>
    <m/>
    <m/>
    <m/>
    <m/>
    <m/>
    <m/>
    <m/>
    <m/>
    <m/>
    <m/>
    <m/>
    <m/>
    <m/>
    <m/>
    <m/>
  </r>
  <r>
    <n v="3"/>
    <m/>
    <x v="25"/>
    <s v="IRCA"/>
    <s v="% reducción agua=  (consumo anterior-consumo actual)/(consumo anterior)  x 100"/>
    <s v="reducción del 5% anual"/>
    <s v="reducción del 5% anual ó 1,25% x trimestre"/>
    <s v="Trimestral"/>
    <m/>
    <m/>
    <m/>
    <m/>
    <m/>
    <m/>
    <m/>
    <m/>
    <m/>
    <m/>
    <n v="0.2"/>
    <n v="0"/>
    <n v="0"/>
    <n v="0"/>
    <n v="0"/>
    <m/>
    <m/>
    <m/>
    <m/>
    <m/>
    <m/>
    <m/>
    <m/>
    <m/>
    <m/>
    <n v="0"/>
    <n v="0"/>
    <n v="0.8"/>
    <n v="1"/>
    <m/>
    <m/>
    <m/>
    <m/>
    <m/>
    <m/>
    <m/>
    <m/>
    <m/>
    <m/>
    <m/>
    <n v="1"/>
    <n v="1"/>
    <n v="0"/>
    <n v="1"/>
    <m/>
    <m/>
    <m/>
    <m/>
    <m/>
    <m/>
    <m/>
    <m/>
    <m/>
    <m/>
    <m/>
    <m/>
    <m/>
    <m/>
    <m/>
    <m/>
  </r>
  <r>
    <n v="4"/>
    <m/>
    <x v="26"/>
    <s v="ICRR"/>
    <s v="% reciclaje=  (residuos reciclados)/(total residuos generados)  x 100"/>
    <s v="10% en el año"/>
    <s v="10% en el año ó 2,5% x trimestre"/>
    <s v="Trimestral"/>
    <m/>
    <m/>
    <m/>
    <m/>
    <m/>
    <m/>
    <m/>
    <m/>
    <m/>
    <m/>
    <n v="0.43"/>
    <n v="1"/>
    <n v="1"/>
    <n v="0"/>
    <n v="0"/>
    <m/>
    <m/>
    <m/>
    <m/>
    <m/>
    <m/>
    <m/>
    <m/>
    <m/>
    <m/>
    <n v="0.99"/>
    <n v="1"/>
    <n v="1"/>
    <n v="1"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</r>
  <r>
    <n v="5"/>
    <m/>
    <x v="27"/>
    <s v="ICPMON"/>
    <s v="% Cumplimiento al Plan de Monitoreo =  (# monitoreos ejecutados )/(# monitoreos planificados)  x 100"/>
    <n v="1"/>
    <n v="1"/>
    <s v="Trimestral"/>
    <m/>
    <m/>
    <m/>
    <m/>
    <m/>
    <m/>
    <m/>
    <m/>
    <m/>
    <m/>
    <n v="1"/>
    <n v="1"/>
    <n v="1"/>
    <n v="0"/>
    <n v="0"/>
    <m/>
    <m/>
    <m/>
    <m/>
    <m/>
    <m/>
    <m/>
    <m/>
    <m/>
    <m/>
    <n v="1"/>
    <n v="1"/>
    <n v="1"/>
    <n v="0.6"/>
    <m/>
    <m/>
    <m/>
    <m/>
    <m/>
    <m/>
    <m/>
    <m/>
    <m/>
    <m/>
    <m/>
    <n v="1"/>
    <n v="1"/>
    <n v="1"/>
    <n v="0.6"/>
    <m/>
    <m/>
    <m/>
    <m/>
    <m/>
    <m/>
    <m/>
    <m/>
    <m/>
    <m/>
    <m/>
    <m/>
    <m/>
    <m/>
    <m/>
    <m/>
  </r>
  <r>
    <n v="6"/>
    <m/>
    <x v="28"/>
    <s v="ICLMPG"/>
    <s v="% cumplimiento=  (# de monitoreo de fuentes dentro de LMP)/(# total de fuentes fijas de combustión monitoreadas)  x 100"/>
    <n v="1"/>
    <n v="1"/>
    <s v="Trimestral"/>
    <m/>
    <m/>
    <m/>
    <m/>
    <m/>
    <m/>
    <m/>
    <m/>
    <m/>
    <m/>
    <n v="1"/>
    <n v="1"/>
    <m/>
    <m/>
    <m/>
    <m/>
    <m/>
    <m/>
    <m/>
    <m/>
    <m/>
    <m/>
    <m/>
    <m/>
    <m/>
    <n v="0.97"/>
    <n v="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</r>
  <r>
    <n v="7"/>
    <m/>
    <x v="29"/>
    <s v="ICLMPA"/>
    <s v="% cumplimiento=  (# de monitoreo de aguas dentro de LMP)/(# total de monitoreos ejecutados)  x 100"/>
    <n v="1"/>
    <n v="1"/>
    <s v="Trimestral"/>
    <m/>
    <m/>
    <m/>
    <m/>
    <m/>
    <m/>
    <m/>
    <m/>
    <m/>
    <m/>
    <n v="1"/>
    <m/>
    <n v="1"/>
    <n v="0"/>
    <n v="0"/>
    <m/>
    <m/>
    <m/>
    <m/>
    <m/>
    <m/>
    <m/>
    <m/>
    <m/>
    <m/>
    <n v="0.99"/>
    <m/>
    <n v="1"/>
    <n v="0"/>
    <m/>
    <m/>
    <m/>
    <m/>
    <m/>
    <m/>
    <m/>
    <m/>
    <m/>
    <m/>
    <m/>
    <n v="1"/>
    <m/>
    <n v="1"/>
    <n v="0"/>
    <m/>
    <m/>
    <m/>
    <m/>
    <m/>
    <m/>
    <m/>
    <m/>
    <m/>
    <m/>
    <m/>
    <m/>
    <m/>
    <m/>
    <m/>
    <m/>
  </r>
  <r>
    <n v="8"/>
    <m/>
    <x v="30"/>
    <s v="ICPMA"/>
    <s v="% cumplimiento PMA=  (# de acciones que si cumplen)/(# total de acciones )  x 100"/>
    <n v="1"/>
    <n v="1"/>
    <s v="Trimestral"/>
    <m/>
    <m/>
    <m/>
    <m/>
    <m/>
    <m/>
    <m/>
    <m/>
    <m/>
    <m/>
    <n v="0.97"/>
    <n v="0.88"/>
    <n v="0.97"/>
    <n v="0"/>
    <n v="0"/>
    <m/>
    <m/>
    <m/>
    <m/>
    <m/>
    <m/>
    <m/>
    <m/>
    <m/>
    <m/>
    <n v="0.95"/>
    <n v="1"/>
    <n v="1"/>
    <n v="0"/>
    <m/>
    <m/>
    <m/>
    <m/>
    <m/>
    <m/>
    <m/>
    <m/>
    <m/>
    <m/>
    <m/>
    <n v="0.96"/>
    <n v="1"/>
    <n v="0.96"/>
    <n v="0"/>
    <m/>
    <m/>
    <m/>
    <m/>
    <m/>
    <m/>
    <m/>
    <m/>
    <m/>
    <m/>
    <m/>
    <m/>
    <m/>
    <m/>
    <m/>
    <m/>
  </r>
  <r>
    <n v="9"/>
    <m/>
    <x v="31"/>
    <s v="ICAC"/>
    <s v="% acciones correctivas=  (# acciones correctivas implementadas a tiempo)/(# total de acciones correctivas)  x 100"/>
    <s v="≥95%"/>
    <s v="≥80%"/>
    <s v="Trimestral"/>
    <m/>
    <m/>
    <m/>
    <m/>
    <m/>
    <m/>
    <m/>
    <m/>
    <m/>
    <m/>
    <n v="0.54"/>
    <n v="0.9"/>
    <n v="1"/>
    <n v="0"/>
    <n v="0"/>
    <m/>
    <m/>
    <m/>
    <m/>
    <m/>
    <m/>
    <m/>
    <m/>
    <m/>
    <m/>
    <n v="0.64"/>
    <n v="1"/>
    <n v="0.95"/>
    <n v="0.45"/>
    <m/>
    <m/>
    <m/>
    <m/>
    <m/>
    <m/>
    <m/>
    <m/>
    <m/>
    <m/>
    <m/>
    <n v="0.71"/>
    <n v="1"/>
    <n v="1"/>
    <n v="0.45"/>
    <m/>
    <m/>
    <m/>
    <m/>
    <m/>
    <m/>
    <m/>
    <m/>
    <m/>
    <m/>
    <m/>
    <m/>
    <m/>
    <m/>
    <m/>
    <m/>
  </r>
  <r>
    <n v="10"/>
    <m/>
    <x v="32"/>
    <s v="IGPQLBIO"/>
    <s v="% sustitución=  (# de Productos Químico biodegradables)/(# total de productos químicos de limpieza utilizados)  x 100"/>
    <n v="0.5"/>
    <n v="0.25"/>
    <s v="Trimestral"/>
    <m/>
    <m/>
    <m/>
    <m/>
    <m/>
    <m/>
    <m/>
    <m/>
    <m/>
    <m/>
    <n v="0"/>
    <m/>
    <n v="1"/>
    <n v="0"/>
    <n v="0"/>
    <m/>
    <m/>
    <m/>
    <m/>
    <m/>
    <m/>
    <m/>
    <m/>
    <m/>
    <m/>
    <n v="0.1"/>
    <m/>
    <n v="0.84"/>
    <n v="0"/>
    <m/>
    <m/>
    <m/>
    <m/>
    <m/>
    <m/>
    <m/>
    <m/>
    <m/>
    <m/>
    <m/>
    <n v="0.18"/>
    <m/>
    <n v="1"/>
    <n v="0"/>
    <m/>
    <m/>
    <m/>
    <m/>
    <m/>
    <m/>
    <m/>
    <m/>
    <m/>
    <m/>
    <m/>
    <m/>
    <m/>
    <m/>
    <m/>
    <m/>
  </r>
  <r>
    <n v="11"/>
    <m/>
    <x v="33"/>
    <s v="IER"/>
    <s v="% de energiás renovables=  (cantidad de energía reOCTable generada)/(cantidad total de energía de la empresa)  x 100"/>
    <s v="5% en el año"/>
    <s v="5% en el año ó 1,25% x trimestre"/>
    <s v="Trimestral"/>
    <m/>
    <m/>
    <m/>
    <m/>
    <m/>
    <m/>
    <m/>
    <m/>
    <m/>
    <m/>
    <n v="0"/>
    <n v="0"/>
    <n v="0"/>
    <n v="0"/>
    <n v="0"/>
    <m/>
    <m/>
    <m/>
    <m/>
    <m/>
    <m/>
    <m/>
    <m/>
    <m/>
    <m/>
    <n v="0"/>
    <n v="0"/>
    <n v="0"/>
    <n v="0"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m/>
    <m/>
  </r>
  <r>
    <n v="12"/>
    <m/>
    <x v="34"/>
    <s v="ITECA"/>
    <s v="% tecnologías BI=  (# de tecnologías implementadas de bajo impacto)/(# total de tecnologías planificadas)  x 100"/>
    <s v="2 tecnologías en el año"/>
    <s v="1 tecnologías en el año"/>
    <s v="Trimestral"/>
    <m/>
    <m/>
    <m/>
    <m/>
    <m/>
    <m/>
    <m/>
    <m/>
    <m/>
    <m/>
    <n v="0"/>
    <n v="1"/>
    <n v="0"/>
    <n v="0"/>
    <n v="0"/>
    <m/>
    <m/>
    <m/>
    <m/>
    <m/>
    <m/>
    <m/>
    <m/>
    <m/>
    <m/>
    <n v="0"/>
    <n v="1"/>
    <n v="1"/>
    <n v="0"/>
    <m/>
    <m/>
    <m/>
    <m/>
    <m/>
    <m/>
    <m/>
    <m/>
    <m/>
    <m/>
    <m/>
    <n v="1"/>
    <n v="1"/>
    <n v="0"/>
    <n v="0"/>
    <m/>
    <m/>
    <m/>
    <m/>
    <m/>
    <m/>
    <m/>
    <m/>
    <m/>
    <m/>
    <m/>
    <m/>
    <m/>
    <m/>
    <m/>
    <m/>
  </r>
  <r>
    <n v="13"/>
    <m/>
    <x v="35"/>
    <s v="ITTA"/>
    <s v="% de empleados=  (# de empleados que asisten a un taller ambiental)/(# total de empleados )  x 100"/>
    <s v="≥90%"/>
    <s v="≥80%"/>
    <s v="Trimestral"/>
    <m/>
    <m/>
    <m/>
    <m/>
    <m/>
    <m/>
    <m/>
    <m/>
    <m/>
    <m/>
    <n v="0.54"/>
    <n v="0.91"/>
    <n v="1"/>
    <n v="0"/>
    <n v="0"/>
    <m/>
    <m/>
    <m/>
    <m/>
    <m/>
    <m/>
    <m/>
    <m/>
    <m/>
    <m/>
    <n v="0.56999999999999995"/>
    <n v="0.91"/>
    <n v="1"/>
    <n v="0.54"/>
    <m/>
    <m/>
    <m/>
    <m/>
    <m/>
    <m/>
    <m/>
    <m/>
    <m/>
    <m/>
    <m/>
    <n v="0.56000000000000005"/>
    <n v="0.82"/>
    <n v="1"/>
    <n v="0.55000000000000004"/>
    <m/>
    <m/>
    <m/>
    <m/>
    <m/>
    <m/>
    <m/>
    <m/>
    <m/>
    <m/>
    <m/>
    <m/>
    <m/>
    <m/>
    <m/>
    <m/>
  </r>
  <r>
    <n v="14"/>
    <m/>
    <x v="36"/>
    <s v="IDJUL"/>
    <s v="(ICOL*10%)  + (ICFSA*5%) + (IRCE*2,5%) + (IRCA*2,5%)+ (ICRR*5%) + (ICPMON*5%) + (ICLMPG*10%) + (ICLMPA*10%) + (ICPMA*20%) + (ICAC*10%) + (IGPQLBIO*5%) + (IER*5%) + (ITECA*5%) + (ITTA*5%)"/>
    <m/>
    <s v="≥80%"/>
    <s v="Trimestral"/>
    <m/>
    <m/>
    <m/>
    <m/>
    <m/>
    <m/>
    <m/>
    <m/>
    <m/>
    <m/>
    <n v="0.67"/>
    <n v="0.69"/>
    <n v="0.71"/>
    <n v="0"/>
    <n v="0"/>
    <m/>
    <m/>
    <m/>
    <m/>
    <m/>
    <m/>
    <m/>
    <m/>
    <m/>
    <m/>
    <n v="0.71"/>
    <n v="0.74"/>
    <n v="0.82"/>
    <n v="0.34"/>
    <m/>
    <m/>
    <m/>
    <m/>
    <m/>
    <m/>
    <m/>
    <m/>
    <m/>
    <m/>
    <m/>
    <n v="0.84"/>
    <n v="0.78"/>
    <n v="0.76"/>
    <n v="0.34"/>
    <m/>
    <m/>
    <m/>
    <m/>
    <m/>
    <m/>
    <m/>
    <m/>
    <m/>
    <m/>
    <m/>
    <m/>
    <m/>
    <m/>
    <m/>
    <m/>
  </r>
  <r>
    <n v="1"/>
    <s v="RELACIONES COMUNITARIAS_x000a_RRCC"/>
    <x v="37"/>
    <s v="ICMOL_x000a_BV-TBG"/>
    <s v="[(# de personal local contratado/ # total de personal contratado)] X 100"/>
    <s v="≥ 70%"/>
    <s v="≥ 7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0.8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</r>
  <r>
    <n v="1"/>
    <m/>
    <x v="38"/>
    <s v="ICMOL PEC"/>
    <s v="[(# de personal local contratado/ # total de personal contratado)] X 101"/>
    <s v="≥ 70%"/>
    <s v="≥ 70%"/>
    <s v="Mensual"/>
    <m/>
    <n v="0.7"/>
    <m/>
    <m/>
    <m/>
    <m/>
    <n v="0.7"/>
    <m/>
    <m/>
    <m/>
    <m/>
    <n v="0.8"/>
    <m/>
    <m/>
    <m/>
    <m/>
    <n v="0.8"/>
    <m/>
    <m/>
    <m/>
    <m/>
    <n v="0.8"/>
    <m/>
    <m/>
    <m/>
    <m/>
    <n v="0.65"/>
    <m/>
    <m/>
    <m/>
    <m/>
    <n v="0.8"/>
    <m/>
    <m/>
    <m/>
    <m/>
    <n v="0.8"/>
    <m/>
    <m/>
    <m/>
    <m/>
    <n v="0.8"/>
    <m/>
    <m/>
    <m/>
    <m/>
    <n v="0.8"/>
    <m/>
    <m/>
    <m/>
    <m/>
    <n v="0.8"/>
    <m/>
    <m/>
    <m/>
    <m/>
    <m/>
    <m/>
    <m/>
    <m/>
  </r>
  <r>
    <n v="2"/>
    <m/>
    <x v="39"/>
    <s v="ICSL"/>
    <s v="[(# de servicios locales contratados/ # total de servicios contratados)] X 100"/>
    <s v="≥ 70%"/>
    <s v="≥ 7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</r>
  <r>
    <n v="3"/>
    <m/>
    <x v="40"/>
    <s v="IIRPC"/>
    <s v="[(# de Inducciones realizadas/ # total de Inducciones solicitadas)] X 100"/>
    <s v="≥ 90%"/>
    <s v="≥ 9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</r>
  <r>
    <n v="4"/>
    <m/>
    <x v="41"/>
    <s v="IGCS"/>
    <s v="[(# de Conflictos sociales resueltos/ # total de Conflictos sociales presentados)] X 100"/>
    <s v="≥ 90%"/>
    <s v="≥ 90%"/>
    <s v="Trimestral"/>
    <m/>
    <m/>
    <m/>
    <m/>
    <m/>
    <m/>
    <n v="1"/>
    <m/>
    <m/>
    <m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</r>
  <r>
    <n v="5"/>
    <m/>
    <x v="42"/>
    <s v="ICSR"/>
    <s v="[(# de caracterizaciones sociales realizadas/ # total de caracterizaciones sociales requeridas)] X 100"/>
    <s v="≥ 90%"/>
    <s v="≥ 90%"/>
    <s v="Semestral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"/>
    <s v="QA / QC_x000a_OPERACIONES VINITA"/>
    <x v="43"/>
    <s v="IIB"/>
    <s v="#de ítems &quot;B&quot; cerrados (IBC) / # total de ítems &quot;B&quot; levantados (TIB)"/>
    <s v="≥ 30%"/>
    <s v="≥ 30%"/>
    <s v="Mensual"/>
    <m/>
    <n v="1"/>
    <m/>
    <m/>
    <m/>
    <m/>
    <n v="0.52"/>
    <m/>
    <m/>
    <m/>
    <m/>
    <n v="0.84"/>
    <m/>
    <m/>
    <m/>
    <m/>
    <n v="0.92"/>
    <m/>
    <m/>
    <m/>
    <m/>
    <n v="0.92"/>
    <m/>
    <m/>
    <m/>
    <m/>
    <n v="0.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"/>
    <m/>
    <x v="44"/>
    <s v="IPNC"/>
    <s v="#de PNCs Levantados(NCL) / # de desviaciones observadas (DO)"/>
    <s v="≥ 10%"/>
    <s v="≥ 1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"/>
    <m/>
    <x v="45"/>
    <s v="IDP&amp;C"/>
    <s v="# Dossiers Aprobados de PRF&amp;CPI (IDP)  / # Dossiers Totales de PRF&amp;CPI(DTP)"/>
    <s v="≥ 50%"/>
    <s v="≥ 50%"/>
    <s v="Mensual"/>
    <m/>
    <n v="0.7"/>
    <m/>
    <m/>
    <m/>
    <m/>
    <n v="0.75"/>
    <m/>
    <m/>
    <m/>
    <m/>
    <n v="0.8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"/>
    <m/>
    <x v="46"/>
    <s v="IDES"/>
    <s v="# Dossiers Aprobados de Equipos de Superficie (IDES)  / # Dossiers Totales de Equipos de Superficie(DTES)"/>
    <s v="≥ 50%"/>
    <s v="≥ 50%"/>
    <s v="Mensual"/>
    <m/>
    <n v="1"/>
    <m/>
    <m/>
    <m/>
    <m/>
    <n v="0.75"/>
    <m/>
    <m/>
    <m/>
    <m/>
    <n v="0.8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"/>
    <m/>
    <x v="47"/>
    <s v="IEL"/>
    <s v="# Liberaciones Realizadas a tiempo (LR)/ Total de equipos &amp;Herramientas requeridas por pozo (TL)"/>
    <s v="≥ 80%"/>
    <s v="≥ 80%"/>
    <s v="Mensual"/>
    <m/>
    <n v="1"/>
    <m/>
    <m/>
    <m/>
    <m/>
    <n v="1"/>
    <m/>
    <m/>
    <m/>
    <m/>
    <n v="1"/>
    <m/>
    <m/>
    <m/>
    <m/>
    <n v="1"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"/>
    <s v="QA / QC_x000a_BASE COCA"/>
    <x v="48"/>
    <s v="IVH"/>
    <s v="# de PNC´s levantadas (NCL)  / # desviaciones observadas (DO)"/>
    <s v="≤ 25%"/>
    <s v="≥ 1"/>
    <s v="Mensual por punch list"/>
    <n v="1"/>
    <m/>
    <m/>
    <m/>
    <m/>
    <n v="2"/>
    <m/>
    <m/>
    <m/>
    <m/>
    <n v="1"/>
    <m/>
    <m/>
    <m/>
    <m/>
    <n v="0.01"/>
    <m/>
    <m/>
    <m/>
    <m/>
    <n v="0"/>
    <m/>
    <m/>
    <m/>
    <m/>
    <n v="0.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"/>
    <m/>
    <x v="49"/>
    <s v="IVH"/>
    <s v="# Inspecciones Vencidas (IV)  / # Inspecciones Totales de Herramientas (ITH)"/>
    <s v="≤ 25%"/>
    <s v="≤ 25%"/>
    <s v="Mensual"/>
    <n v="9.5799999999999996E-2"/>
    <m/>
    <m/>
    <m/>
    <m/>
    <n v="0.13739999999999999"/>
    <m/>
    <m/>
    <m/>
    <m/>
    <n v="0.1101"/>
    <m/>
    <m/>
    <m/>
    <m/>
    <n v="0.1191"/>
    <m/>
    <m/>
    <m/>
    <m/>
    <n v="0.1426"/>
    <m/>
    <m/>
    <m/>
    <m/>
    <n v="0.10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"/>
    <m/>
    <x v="50"/>
    <s v="IVDP"/>
    <s v="# Inspecciones Vencidas (IVDP)  / # Inspecciones Totales de Sartas (ITS)"/>
    <s v="≤ 30%"/>
    <s v="≤ 30%"/>
    <s v="Mensual"/>
    <n v="0"/>
    <m/>
    <m/>
    <m/>
    <m/>
    <n v="0.1429"/>
    <m/>
    <m/>
    <m/>
    <m/>
    <n v="0.28570000000000001"/>
    <m/>
    <m/>
    <m/>
    <m/>
    <n v="0.25"/>
    <m/>
    <m/>
    <m/>
    <m/>
    <n v="0.125"/>
    <m/>
    <m/>
    <m/>
    <m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9296C-BF66-40C1-B59A-B14A3A95A188}" name="TablaDinámica3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3" rowHeaderCaption="GESTIÓN AMBIENTAL" fieldListSortAscending="1">
  <location ref="C265:G279" firstHeaderRow="0" firstDataRow="1" firstDataCol="1"/>
  <pivotFields count="62">
    <pivotField showAll="0"/>
    <pivotField axis="axisRow" showAll="0">
      <items count="60">
        <item h="1" x="3"/>
        <item h="1" x="6"/>
        <item h="1" x="50"/>
        <item h="1" x="5"/>
        <item h="1" x="12"/>
        <item h="1" m="1" x="58"/>
        <item h="1" x="19"/>
        <item h="1" m="1" x="53"/>
        <item h="1" m="1" x="57"/>
        <item h="1" x="16"/>
        <item h="1" m="1" x="56"/>
        <item h="1" x="9"/>
        <item h="1" x="8"/>
        <item h="1" x="10"/>
        <item h="1" x="4"/>
        <item h="1" x="46"/>
        <item h="1" x="45"/>
        <item h="1" x="47"/>
        <item h="1" x="14"/>
        <item h="1" x="15"/>
        <item h="1" sd="0" x="0"/>
        <item h="1" m="1" x="52"/>
        <item h="1" x="43"/>
        <item h="1" x="13"/>
        <item h="1" x="44"/>
        <item h="1" m="1" x="55"/>
        <item h="1" x="7"/>
        <item h="1" x="11"/>
        <item h="1" x="49"/>
        <item h="1" x="18"/>
        <item h="1" x="20"/>
        <item h="1" x="21"/>
        <item h="1" m="1" x="54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51"/>
        <item x="34"/>
        <item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14"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- TBG NOV" fld="57" baseField="1" baseItem="44"/>
    <dataField name="- CNX NOV" fld="59" baseField="1" baseItem="44"/>
    <dataField name="- BV NOV" fld="58" baseField="1" baseItem="44"/>
    <dataField name="- CSH NOV" fld="60" baseField="1" baseItem="44"/>
  </dataFields>
  <formats count="45">
    <format dxfId="44">
      <pivotArea grandRow="1"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grandRow="1" outline="0" fieldPosition="0"/>
    </format>
    <format dxfId="39">
      <pivotArea type="all" dataOnly="0" outline="0" fieldPosition="0"/>
    </format>
    <format dxfId="38">
      <pivotArea field="1" type="button" dataOnly="0" labelOnly="1" outline="0" axis="axisRow" fieldPosition="0"/>
    </format>
    <format dxfId="37">
      <pivotArea outline="0" collapsedLevelsAreSubtotals="1" fieldPosition="0"/>
    </format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field="1" type="button" dataOnly="0" labelOnly="1" outline="0" axis="axisRow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field="1" type="button" dataOnly="0" labelOnly="1" outline="0" axis="axisRow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grandRow="1" outline="0" fieldPosition="0"/>
    </format>
    <format dxfId="25">
      <pivotArea field="1" type="button" dataOnly="0" labelOnly="1" outline="0" axis="axisRow" fieldPosition="0"/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fieldPosition="0">
        <references count="1">
          <reference field="1" count="1">
            <x v="50"/>
          </reference>
        </references>
      </pivotArea>
    </format>
    <format dxfId="2">
      <pivotArea dataOnly="0" labelOnly="1" fieldPosition="0">
        <references count="1">
          <reference field="1" count="1">
            <x v="51"/>
          </reference>
        </references>
      </pivotArea>
    </format>
    <format dxfId="1">
      <pivotArea dataOnly="0" labelOnly="1" fieldPosition="0">
        <references count="1">
          <reference field="1" count="1">
            <x v="54"/>
          </reference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chartFormats count="4">
    <chartFormat chart="35" format="10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1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10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" format="10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C4863-E827-4ABD-A3DC-99FDF775BBFC}" name="TablaDinámica1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1.2) Indice de frecuencia CONEXPET " fieldListSortAscending="1">
  <location ref="C62:O64" firstHeaderRow="0" firstDataRow="1" firstDataCol="1"/>
  <pivotFields count="67">
    <pivotField showAll="0"/>
    <pivotField axis="axisRow" showAll="0">
      <items count="53">
        <item h="1" x="3"/>
        <item h="1" x="6"/>
        <item h="1" x="50"/>
        <item h="1" x="5"/>
        <item h="1" x="12"/>
        <item h="1" x="19"/>
        <item h="1" x="16"/>
        <item h="1" x="9"/>
        <item h="1" x="8"/>
        <item h="1" x="10"/>
        <item h="1" x="4"/>
        <item h="1" x="46"/>
        <item h="1" x="45"/>
        <item h="1" x="47"/>
        <item h="1" x="14"/>
        <item h="1" x="15"/>
        <item sd="0" x="0"/>
        <item h="1" x="43"/>
        <item h="1" x="13"/>
        <item h="1" x="44"/>
        <item h="1" x="7"/>
        <item h="1" x="11"/>
        <item h="1" x="49"/>
        <item h="1" x="18"/>
        <item h="1" x="20"/>
        <item h="1" x="21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 v="1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- CNX ENE" fld="9" baseField="1" baseItem="20"/>
    <dataField name="- CNX FEB" fld="14" baseField="1" baseItem="20"/>
    <dataField name="- CNX MAR" fld="19" baseField="1" baseItem="25"/>
    <dataField name="- CNX ABR" fld="24" baseField="1" baseItem="25"/>
    <dataField name="- CNX MAY" fld="29" baseField="1" baseItem="25"/>
    <dataField name="- CNX JUN" fld="34" baseField="1" baseItem="25"/>
    <dataField name="- CNX JUL" fld="39" baseField="1" baseItem="20"/>
    <dataField name="- CNX AGO" fld="44" baseField="1" baseItem="20"/>
    <dataField name="- CNX SEP" fld="49" baseField="1" baseItem="20"/>
    <dataField name="- CNX OCT" fld="54" baseField="1" baseItem="20"/>
    <dataField name="- CNX NOV" fld="59" baseField="1" baseItem="16"/>
    <dataField name="- CNX DIC" fld="64" baseField="1" baseItem="16"/>
  </dataFields>
  <formats count="62">
    <format dxfId="106">
      <pivotArea collapsedLevelsAreSubtotals="1" fieldPosition="0">
        <references count="1">
          <reference field="1" count="0"/>
        </references>
      </pivotArea>
    </format>
    <format dxfId="105">
      <pivotArea collapsedLevelsAreSubtotals="1" fieldPosition="0">
        <references count="1">
          <reference field="1" count="0"/>
        </references>
      </pivotArea>
    </format>
    <format dxfId="104">
      <pivotArea grandRow="1" outline="0" collapsedLevelsAreSubtotals="1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" type="button" dataOnly="0" labelOnly="1" outline="0" axis="axisRow" fieldPosition="0"/>
    </format>
    <format dxfId="100">
      <pivotArea dataOnly="0" labelOnly="1" fieldPosition="0">
        <references count="1">
          <reference field="1" count="0"/>
        </references>
      </pivotArea>
    </format>
    <format dxfId="99">
      <pivotArea dataOnly="0" labelOnly="1" grandRow="1" outline="0" fieldPosition="0"/>
    </format>
    <format dxfId="98">
      <pivotArea type="all" dataOnly="0" outline="0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outline="0" collapsedLevelsAreSubtotals="1" fieldPosition="0"/>
    </format>
    <format dxfId="94">
      <pivotArea collapsedLevelsAreSubtotals="1" fieldPosition="0">
        <references count="1">
          <reference field="1" count="1">
            <x v="10"/>
          </reference>
        </references>
      </pivotArea>
    </format>
    <format dxfId="93">
      <pivotArea collapsedLevelsAreSubtotals="1" fieldPosition="0">
        <references count="1">
          <reference field="1" count="7">
            <x v="3"/>
            <x v="4"/>
            <x v="5"/>
            <x v="6"/>
            <x v="7"/>
            <x v="8"/>
            <x v="9"/>
          </reference>
        </references>
      </pivotArea>
    </format>
    <format dxfId="92">
      <pivotArea collapsedLevelsAreSubtotals="1" fieldPosition="0">
        <references count="1">
          <reference field="1" count="1">
            <x v="1"/>
          </reference>
        </references>
      </pivotArea>
    </format>
    <format dxfId="91">
      <pivotArea collapsedLevelsAreSubtotals="1" fieldPosition="0">
        <references count="1">
          <reference field="1" count="1">
            <x v="2"/>
          </reference>
        </references>
      </pivotArea>
    </format>
    <format dxfId="90">
      <pivotArea outline="0" collapsedLevelsAreSubtotals="1" fieldPosition="0"/>
    </format>
    <format dxfId="89">
      <pivotArea outline="0" collapsedLevelsAreSubtotals="1" fieldPosition="0"/>
    </format>
    <format dxfId="88">
      <pivotArea field="1" type="button" dataOnly="0" labelOnly="1" outline="0" axis="axisRow" fieldPosition="0"/>
    </format>
    <format dxfId="87">
      <pivotArea field="1" type="button" dataOnly="0" labelOnly="1" outline="0" axis="axisRow" fieldPosition="0"/>
    </format>
    <format dxfId="86">
      <pivotArea collapsedLevelsAreSubtotals="1" fieldPosition="0">
        <references count="1">
          <reference field="1" count="0"/>
        </references>
      </pivotArea>
    </format>
    <format dxfId="85">
      <pivotArea dataOnly="0" labelOnly="1" fieldPosition="0">
        <references count="1">
          <reference field="1" count="0"/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grandRow="1" outline="0" fieldPosition="0"/>
    </format>
    <format dxfId="81">
      <pivotArea collapsedLevelsAreSubtotals="1" fieldPosition="0">
        <references count="1">
          <reference field="1" count="0"/>
        </references>
      </pivotArea>
    </format>
    <format dxfId="80">
      <pivotArea field="1" type="button" dataOnly="0" labelOnly="1" outline="0" axis="axisRow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collapsedLevelsAreSubtotals="1" fieldPosition="0">
        <references count="1">
          <reference field="1" count="0"/>
        </references>
      </pivotArea>
    </format>
    <format dxfId="77">
      <pivotArea dataOnly="0" labelOnly="1" fieldPosition="0">
        <references count="1">
          <reference field="1" count="0"/>
        </references>
      </pivotArea>
    </format>
    <format dxfId="76">
      <pivotArea type="all" dataOnly="0" outline="0" fieldPosition="0"/>
    </format>
    <format dxfId="75">
      <pivotArea collapsedLevelsAreSubtotals="1" fieldPosition="0">
        <references count="1">
          <reference field="1" count="0"/>
        </references>
      </pivotArea>
    </format>
    <format dxfId="74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73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72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71">
      <pivotArea type="all" dataOnly="0" outline="0" fieldPosition="0"/>
    </format>
    <format dxfId="70">
      <pivotArea dataOnly="0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69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68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" type="button" dataOnly="0" labelOnly="1" outline="0" axis="axisRow" fieldPosition="0"/>
    </format>
    <format dxfId="64">
      <pivotArea dataOnly="0" labelOnly="1" fieldPosition="0">
        <references count="1">
          <reference field="1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5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8">
      <pivotArea collapsedLevelsAreSubtotals="1" fieldPosition="0">
        <references count="1">
          <reference field="1" count="0"/>
        </references>
      </pivotArea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2">
    <chartFormat chart="1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" format="1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" format="2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0" format="27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0" format="2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3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0" format="34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955F4-B099-4BDD-9DE7-44FE8935803B}" name="TablaDinámica3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0" rowHeaderCaption="GESTIÓN DE QA/QC OPERACIONES BLANCA VINITA" fieldListSortAscending="1">
  <location ref="C332:I338" firstHeaderRow="0" firstDataRow="1" firstDataCol="1"/>
  <pivotFields count="62">
    <pivotField showAll="0"/>
    <pivotField axis="axisRow" showAll="0">
      <items count="60">
        <item h="1" x="3"/>
        <item h="1" x="6"/>
        <item h="1" x="50"/>
        <item h="1" x="5"/>
        <item h="1" x="12"/>
        <item h="1" m="1" x="58"/>
        <item h="1" x="19"/>
        <item h="1" m="1" x="53"/>
        <item h="1" m="1" x="57"/>
        <item h="1" x="16"/>
        <item h="1" m="1" x="56"/>
        <item h="1" x="9"/>
        <item h="1" x="8"/>
        <item h="1" x="10"/>
        <item h="1" x="4"/>
        <item sd="0" x="46"/>
        <item sd="0" x="45"/>
        <item sd="0" x="47"/>
        <item h="1" x="14"/>
        <item h="1" x="15"/>
        <item h="1" sd="0" x="0"/>
        <item h="1" m="1" x="52"/>
        <item sd="0" x="43"/>
        <item h="1" x="13"/>
        <item sd="0" x="44"/>
        <item h="1" m="1" x="55"/>
        <item h="1" x="7"/>
        <item h="1" x="11"/>
        <item h="1" x="49"/>
        <item h="1" x="18"/>
        <item h="1" x="20"/>
        <item h="1" x="21"/>
        <item h="1" m="1" x="54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5"/>
    </i>
    <i>
      <x v="16"/>
    </i>
    <i>
      <x v="17"/>
    </i>
    <i>
      <x v="22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- BV ENE" fld="8" baseField="1" baseItem="15"/>
    <dataField name="- BV FEB" fld="13" baseField="1" baseItem="27"/>
    <dataField name="- BV MAR" fld="18" baseField="1" baseItem="20"/>
    <dataField name="- BV ABR" fld="23" baseField="1" baseItem="22"/>
    <dataField name="- BV MAY" fld="28" baseField="1" baseItem="22"/>
    <dataField name="- BV JUN" fld="33" baseField="1" baseItem="22"/>
  </dataFields>
  <formats count="44">
    <format dxfId="150">
      <pivotArea grandRow="1" outline="0" collapsedLevelsAreSubtotals="1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" type="button" dataOnly="0" labelOnly="1" outline="0" axis="axisRow" fieldPosition="0"/>
    </format>
    <format dxfId="146">
      <pivotArea dataOnly="0" labelOnly="1" grandRow="1" outline="0" fieldPosition="0"/>
    </format>
    <format dxfId="145">
      <pivotArea type="all" dataOnly="0" outline="0" fieldPosition="0"/>
    </format>
    <format dxfId="144">
      <pivotArea field="1" type="button" dataOnly="0" labelOnly="1" outline="0" axis="axisRow" fieldPosition="0"/>
    </format>
    <format dxfId="143">
      <pivotArea outline="0" collapsedLevelsAreSubtotals="1" fieldPosition="0"/>
    </format>
    <format dxfId="142">
      <pivotArea outline="0" collapsedLevelsAreSubtotals="1" fieldPosition="0"/>
    </format>
    <format dxfId="141">
      <pivotArea outline="0" collapsedLevelsAreSubtotals="1" fieldPosition="0"/>
    </format>
    <format dxfId="140">
      <pivotArea field="1" type="button" dataOnly="0" labelOnly="1" outline="0" axis="axisRow" fieldPosition="0"/>
    </format>
    <format dxfId="139">
      <pivotArea field="1" type="button" dataOnly="0" labelOnly="1" outline="0" axis="axisRow" fieldPosition="0"/>
    </format>
    <format dxfId="138">
      <pivotArea outline="0" collapsedLevelsAreSubtotals="1" fieldPosition="0"/>
    </format>
    <format dxfId="137">
      <pivotArea field="1" type="button" dataOnly="0" labelOnly="1" outline="0" axis="axisRow" fieldPosition="0"/>
    </format>
    <format dxfId="136">
      <pivotArea field="1" type="button" dataOnly="0" labelOnly="1" outline="0" axis="axisRow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" type="button" dataOnly="0" labelOnly="1" outline="0" axis="axisRow" fieldPosition="0"/>
    </format>
    <format dxfId="132">
      <pivotArea dataOnly="0" labelOnly="1" grandRow="1" outline="0" fieldPosition="0"/>
    </format>
    <format dxfId="131">
      <pivotArea field="1" type="button" dataOnly="0" labelOnly="1" outline="0" axis="axisRow" fieldPosition="0"/>
    </format>
    <format dxfId="130">
      <pivotArea collapsedLevelsAreSubtotals="1" fieldPosition="0">
        <references count="1">
          <reference field="1" count="0"/>
        </references>
      </pivotArea>
    </format>
    <format dxfId="129">
      <pivotArea dataOnly="0" labelOnly="1" fieldPosition="0">
        <references count="1">
          <reference field="1" count="0"/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119">
      <pivotArea dataOnly="0" labelOnly="1" fieldPosition="0">
        <references count="1">
          <reference field="1" count="0"/>
        </references>
      </pivotArea>
    </format>
    <format dxfId="118">
      <pivotArea dataOnly="0" labelOnly="1" grandRow="1" outline="0" fieldPosition="0"/>
    </format>
    <format dxfId="117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0">
      <pivotArea collapsedLevelsAreSubtotals="1" fieldPosition="0">
        <references count="1">
          <reference field="1" count="0"/>
        </references>
      </pivotArea>
    </format>
    <format dxfId="109">
      <pivotArea field="1" type="button" dataOnly="0" labelOnly="1" outline="0" axis="axisRow" fieldPosition="0"/>
    </format>
    <format dxfId="108">
      <pivotArea dataOnly="0" labelOnly="1" fieldPosition="0">
        <references count="1">
          <reference field="1" count="0"/>
        </references>
      </pivotArea>
    </format>
    <format dxfId="10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6">
    <chartFormat chart="38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3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48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CC9DE-068B-4BEF-8B75-990FEF7EEA04}" name="TablaDinámica3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 rowHeaderCaption="GESTIÓN AMBIENTAL" fieldListSortAscending="1">
  <location ref="C241:G243" firstHeaderRow="0" firstDataRow="1" firstDataCol="1"/>
  <pivotFields count="62">
    <pivotField showAll="0"/>
    <pivotField axis="axisRow" showAll="0">
      <items count="60">
        <item h="1" x="3"/>
        <item h="1" x="6"/>
        <item h="1" x="50"/>
        <item h="1" x="5"/>
        <item h="1" x="12"/>
        <item h="1" m="1" x="58"/>
        <item h="1" x="19"/>
        <item h="1" m="1" x="53"/>
        <item h="1" m="1" x="57"/>
        <item h="1" x="16"/>
        <item h="1" m="1" x="56"/>
        <item h="1" x="9"/>
        <item h="1" x="8"/>
        <item h="1" x="10"/>
        <item h="1" x="4"/>
        <item h="1" x="46"/>
        <item h="1" x="45"/>
        <item h="1" x="47"/>
        <item h="1" x="14"/>
        <item h="1" x="15"/>
        <item h="1" sd="0" x="0"/>
        <item h="1" m="1" x="52"/>
        <item h="1" x="43"/>
        <item h="1" x="13"/>
        <item h="1" x="44"/>
        <item h="1" m="1" x="55"/>
        <item h="1" x="7"/>
        <item h="1" x="11"/>
        <item h="1" x="49"/>
        <item h="1" x="18"/>
        <item h="1" x="20"/>
        <item h="1" x="21"/>
        <item h="1" m="1" x="54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2">
    <i>
      <x v="4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-TBG NOV" fld="57" baseField="1" baseItem="43"/>
    <dataField name="- CNX NOV" fld="59" baseField="1" baseItem="43"/>
    <dataField name="- BV NOV" fld="58" baseField="1" baseItem="43"/>
    <dataField name="- CSH NOV" fld="60" baseField="1" baseItem="43"/>
  </dataFields>
  <formats count="47">
    <format dxfId="197">
      <pivotArea grandRow="1" outline="0" collapsedLevelsAreSubtotals="1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" type="button" dataOnly="0" labelOnly="1" outline="0" axis="axisRow" fieldPosition="0"/>
    </format>
    <format dxfId="193">
      <pivotArea dataOnly="0" labelOnly="1" grandRow="1" outline="0" fieldPosition="0"/>
    </format>
    <format dxfId="192">
      <pivotArea type="all" dataOnly="0" outline="0" fieldPosition="0"/>
    </format>
    <format dxfId="191">
      <pivotArea field="1" type="button" dataOnly="0" labelOnly="1" outline="0" axis="axisRow" fieldPosition="0"/>
    </format>
    <format dxfId="190">
      <pivotArea outline="0" collapsedLevelsAreSubtotals="1" fieldPosition="0"/>
    </format>
    <format dxfId="189">
      <pivotArea outline="0" collapsedLevelsAreSubtotals="1" fieldPosition="0"/>
    </format>
    <format dxfId="188">
      <pivotArea outline="0" collapsedLevelsAreSubtotals="1" fieldPosition="0"/>
    </format>
    <format dxfId="187">
      <pivotArea field="1" type="button" dataOnly="0" labelOnly="1" outline="0" axis="axisRow" fieldPosition="0"/>
    </format>
    <format dxfId="186">
      <pivotArea field="1" type="button" dataOnly="0" labelOnly="1" outline="0" axis="axisRow" fieldPosition="0"/>
    </format>
    <format dxfId="185">
      <pivotArea outline="0" collapsedLevelsAreSubtotals="1" fieldPosition="0"/>
    </format>
    <format dxfId="184">
      <pivotArea field="1" type="button" dataOnly="0" labelOnly="1" outline="0" axis="axisRow" fieldPosition="0"/>
    </format>
    <format dxfId="183">
      <pivotArea field="1" type="button" dataOnly="0" labelOnly="1" outline="0" axis="axisRow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1" type="button" dataOnly="0" labelOnly="1" outline="0" axis="axisRow" fieldPosition="0"/>
    </format>
    <format dxfId="179">
      <pivotArea dataOnly="0" labelOnly="1" grandRow="1" outline="0" fieldPosition="0"/>
    </format>
    <format dxfId="178">
      <pivotArea field="1" type="button" dataOnly="0" labelOnly="1" outline="0" axis="axisRow" fieldPosition="0"/>
    </format>
    <format dxfId="177">
      <pivotArea collapsedLevelsAreSubtotals="1" fieldPosition="0">
        <references count="1">
          <reference field="1" count="0"/>
        </references>
      </pivotArea>
    </format>
    <format dxfId="176">
      <pivotArea field="1" type="button" dataOnly="0" labelOnly="1" outline="0" axis="axisRow" fieldPosition="0"/>
    </format>
    <format dxfId="175">
      <pivotArea dataOnly="0" labelOnly="1" fieldPosition="0">
        <references count="1">
          <reference field="1" count="0"/>
        </references>
      </pivotArea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outline="0" collapsedLevelsAreSubtotals="1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outline="0" collapsedLevelsAreSubtotals="1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1" type="button" dataOnly="0" labelOnly="1" outline="0" axis="axisRow" fieldPosition="0"/>
    </format>
    <format dxfId="160">
      <pivotArea dataOnly="0" labelOnly="1" fieldPosition="0">
        <references count="1">
          <reference field="1" count="0"/>
        </references>
      </pivotArea>
    </format>
    <format dxfId="159">
      <pivotArea dataOnly="0" labelOnly="1" grandRow="1" outline="0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1" type="button" dataOnly="0" labelOnly="1" outline="0" axis="axisRow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Row="1" outline="0" fieldPosition="0"/>
    </format>
    <format dxfId="153">
      <pivotArea collapsedLevelsAreSubtotals="1" fieldPosition="0">
        <references count="1">
          <reference field="1" count="0"/>
        </references>
      </pivotArea>
    </format>
    <format dxfId="152">
      <pivotArea field="1" type="button" dataOnly="0" labelOnly="1" outline="0" axis="axisRow" fieldPosition="0"/>
    </format>
    <format dxfId="151">
      <pivotArea dataOnly="0" labelOnly="1" fieldPosition="0">
        <references count="1">
          <reference field="1" count="0"/>
        </references>
      </pivotArea>
    </format>
  </formats>
  <chartFormats count="4">
    <chartFormat chart="31" format="8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8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1" format="8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667AC-EBC2-4D6E-B7FE-0B396DC24A1B}" name="TablaDinámica2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1.3) Indice de frecuencia PROYECTO BLANCA VINITA " fieldListSortAscending="1">
  <location ref="C81:O83" firstHeaderRow="0" firstDataRow="1" firstDataCol="1"/>
  <pivotFields count="68">
    <pivotField showAll="0"/>
    <pivotField showAll="0"/>
    <pivotField axis="axisRow" showAll="0">
      <items count="53">
        <item h="1" x="3"/>
        <item h="1" x="6"/>
        <item h="1" x="50"/>
        <item h="1" x="5"/>
        <item h="1" x="12"/>
        <item h="1" x="19"/>
        <item h="1" x="16"/>
        <item h="1" x="9"/>
        <item h="1" x="8"/>
        <item h="1" x="10"/>
        <item h="1" x="4"/>
        <item h="1" x="46"/>
        <item h="1" x="45"/>
        <item h="1" x="47"/>
        <item h="1" x="14"/>
        <item h="1" x="15"/>
        <item sd="0" x="0"/>
        <item h="1" x="43"/>
        <item h="1" x="13"/>
        <item h="1" x="44"/>
        <item h="1" x="7"/>
        <item h="1" x="11"/>
        <item h="1" x="49"/>
        <item h="1" x="18"/>
        <item h="1" x="20"/>
        <item h="1" x="21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">
    <i>
      <x v="1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- BV ENE" fld="9" baseField="2" baseItem="16"/>
    <dataField name="- BV FEB" fld="14" baseField="1" baseItem="25"/>
    <dataField name="- BV MAR" fld="19" baseField="1" baseItem="25"/>
    <dataField name="- BV ABR" fld="24" baseField="1" baseItem="25"/>
    <dataField name="- BV MAY" fld="29" baseField="1" baseItem="25"/>
    <dataField name="- BV JUN" fld="34" baseField="1" baseItem="25"/>
    <dataField name="- BV JUL" fld="39" baseField="2" baseItem="22"/>
    <dataField name="- BV AGO" fld="44" baseField="2" baseItem="16"/>
    <dataField name="- BV SEP" fld="49" baseField="2" baseItem="16"/>
    <dataField name="- BV OCT" fld="54" baseField="2" baseItem="16"/>
    <dataField name="- BV NOV" fld="59" baseField="2" baseItem="16"/>
    <dataField name="- BV DIC" fld="64" baseField="2" baseItem="16"/>
  </dataFields>
  <formats count="74">
    <format dxfId="271">
      <pivotArea collapsedLevelsAreSubtotals="1" fieldPosition="0">
        <references count="1">
          <reference field="2" count="0"/>
        </references>
      </pivotArea>
    </format>
    <format dxfId="270">
      <pivotArea collapsedLevelsAreSubtotals="1" fieldPosition="0">
        <references count="1">
          <reference field="2" count="0"/>
        </references>
      </pivotArea>
    </format>
    <format dxfId="269">
      <pivotArea grandRow="1" outline="0" collapsedLevelsAreSubtotals="1" fieldPosition="0"/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2" type="button" dataOnly="0" labelOnly="1" outline="0" axis="axisRow" fieldPosition="0"/>
    </format>
    <format dxfId="265">
      <pivotArea dataOnly="0" labelOnly="1" fieldPosition="0">
        <references count="1">
          <reference field="2" count="0"/>
        </references>
      </pivotArea>
    </format>
    <format dxfId="264">
      <pivotArea dataOnly="0" labelOnly="1" grandRow="1" outline="0" fieldPosition="0"/>
    </format>
    <format dxfId="263">
      <pivotArea type="all" dataOnly="0" outline="0" fieldPosition="0"/>
    </format>
    <format dxfId="262">
      <pivotArea field="2" type="button" dataOnly="0" labelOnly="1" outline="0" axis="axisRow" fieldPosition="0"/>
    </format>
    <format dxfId="261">
      <pivotArea dataOnly="0" labelOnly="1" fieldPosition="0">
        <references count="1">
          <reference field="2" count="0"/>
        </references>
      </pivotArea>
    </format>
    <format dxfId="260">
      <pivotArea outline="0" collapsedLevelsAreSubtotals="1" fieldPosition="0"/>
    </format>
    <format dxfId="259">
      <pivotArea collapsedLevelsAreSubtotals="1" fieldPosition="0">
        <references count="1">
          <reference field="2" count="1">
            <x v="10"/>
          </reference>
        </references>
      </pivotArea>
    </format>
    <format dxfId="258">
      <pivotArea collapsedLevelsAreSubtotals="1" fieldPosition="0">
        <references count="1">
          <reference field="2" count="7">
            <x v="3"/>
            <x v="4"/>
            <x v="5"/>
            <x v="6"/>
            <x v="7"/>
            <x v="8"/>
            <x v="9"/>
          </reference>
        </references>
      </pivotArea>
    </format>
    <format dxfId="257">
      <pivotArea collapsedLevelsAreSubtotals="1" fieldPosition="0">
        <references count="1">
          <reference field="2" count="1">
            <x v="1"/>
          </reference>
        </references>
      </pivotArea>
    </format>
    <format dxfId="256">
      <pivotArea collapsedLevelsAreSubtotals="1" fieldPosition="0">
        <references count="1">
          <reference field="2" count="1">
            <x v="2"/>
          </reference>
        </references>
      </pivotArea>
    </format>
    <format dxfId="255">
      <pivotArea outline="0" collapsedLevelsAreSubtotals="1" fieldPosition="0"/>
    </format>
    <format dxfId="254">
      <pivotArea outline="0" collapsedLevelsAreSubtotals="1" fieldPosition="0"/>
    </format>
    <format dxfId="253">
      <pivotArea field="2" type="button" dataOnly="0" labelOnly="1" outline="0" axis="axisRow" fieldPosition="0"/>
    </format>
    <format dxfId="252">
      <pivotArea field="2" type="button" dataOnly="0" labelOnly="1" outline="0" axis="axisRow" fieldPosition="0"/>
    </format>
    <format dxfId="251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50">
      <pivotArea collapsedLevelsAreSubtotals="1" fieldPosition="0">
        <references count="1">
          <reference field="2" count="0"/>
        </references>
      </pivotArea>
    </format>
    <format dxfId="249">
      <pivotArea dataOnly="0" labelOnly="1" fieldPosition="0">
        <references count="1">
          <reference field="2" count="0"/>
        </references>
      </pivotArea>
    </format>
    <format dxfId="248">
      <pivotArea type="all" dataOnly="0" outline="0" fieldPosition="0"/>
    </format>
    <format dxfId="247">
      <pivotArea outline="0" collapsedLevelsAreSubtotals="1" fieldPosition="0"/>
    </format>
    <format dxfId="246">
      <pivotArea dataOnly="0" labelOnly="1" grandRow="1" outline="0" fieldPosition="0"/>
    </format>
    <format dxfId="24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44">
      <pivotArea collapsedLevelsAreSubtotals="1" fieldPosition="0">
        <references count="1">
          <reference field="2" count="0"/>
        </references>
      </pivotArea>
    </format>
    <format dxfId="243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42">
      <pivotArea collapsedLevelsAreSubtotals="1" fieldPosition="0">
        <references count="1">
          <reference field="2" count="0"/>
        </references>
      </pivotArea>
    </format>
    <format dxfId="241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40">
      <pivotArea collapsedLevelsAreSubtotals="1" fieldPosition="0">
        <references count="1">
          <reference field="2" count="0"/>
        </references>
      </pivotArea>
    </format>
    <format dxfId="239">
      <pivotArea field="2" type="button" dataOnly="0" labelOnly="1" outline="0" axis="axisRow" fieldPosition="0"/>
    </format>
    <format dxfId="238">
      <pivotArea dataOnly="0" labelOnly="1" fieldPosition="0">
        <references count="1">
          <reference field="2" count="0"/>
        </references>
      </pivotArea>
    </format>
    <format dxfId="237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36">
      <pivotArea field="2" type="button" dataOnly="0" labelOnly="1" outline="0" axis="axisRow" fieldPosition="0"/>
    </format>
    <format dxfId="235">
      <pivotArea field="2" type="button" dataOnly="0" labelOnly="1" outline="0" axis="axisRow" fieldPosition="0"/>
    </format>
    <format dxfId="23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33">
      <pivotArea field="2" type="button" dataOnly="0" labelOnly="1" outline="0" axis="axisRow" fieldPosition="0"/>
    </format>
    <format dxfId="232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31">
      <pivotArea collapsedLevelsAreSubtotals="1" fieldPosition="0">
        <references count="1">
          <reference field="2" count="0"/>
        </references>
      </pivotArea>
    </format>
    <format dxfId="230">
      <pivotArea dataOnly="0" labelOnly="1" fieldPosition="0">
        <references count="1">
          <reference field="2" count="0"/>
        </references>
      </pivotArea>
    </format>
    <format dxfId="229">
      <pivotArea type="all" dataOnly="0" outline="0" fieldPosition="0"/>
    </format>
    <format dxfId="22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27">
      <pivotArea collapsedLevelsAreSubtotals="1" fieldPosition="0">
        <references count="1">
          <reference field="2" count="0"/>
        </references>
      </pivotArea>
    </format>
    <format dxfId="226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25">
      <pivotArea collapsedLevelsAreSubtotals="1" fieldPosition="0">
        <references count="1">
          <reference field="2" count="0"/>
        </references>
      </pivotArea>
    </format>
    <format dxfId="22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23">
      <pivotArea collapsedLevelsAreSubtotals="1" fieldPosition="0">
        <references count="1">
          <reference field="2" count="0"/>
        </references>
      </pivotArea>
    </format>
    <format dxfId="222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2" type="button" dataOnly="0" labelOnly="1" outline="0" axis="axisRow" fieldPosition="0"/>
    </format>
    <format dxfId="218">
      <pivotArea dataOnly="0" labelOnly="1" fieldPosition="0">
        <references count="1">
          <reference field="2" count="0"/>
        </references>
      </pivotArea>
    </format>
    <format dxfId="217">
      <pivotArea dataOnly="0" labelOnly="1" grandRow="1" outline="0" fieldPosition="0"/>
    </format>
    <format dxfId="216">
      <pivotArea dataOnly="0" labelOnly="1" outline="0" fieldPosition="0">
        <references count="1">
          <reference field="4294967294" count="6">
            <x v="1"/>
            <x v="2"/>
            <x v="3"/>
            <x v="4"/>
            <x v="5"/>
            <x v="6"/>
          </reference>
        </references>
      </pivotArea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field="2" type="button" dataOnly="0" labelOnly="1" outline="0" axis="axisRow" fieldPosition="0"/>
    </format>
    <format dxfId="212">
      <pivotArea dataOnly="0" labelOnly="1" fieldPosition="0">
        <references count="1">
          <reference field="2" count="0"/>
        </references>
      </pivotArea>
    </format>
    <format dxfId="211">
      <pivotArea dataOnly="0" labelOnly="1" grandRow="1" outline="0" fieldPosition="0"/>
    </format>
    <format dxfId="210">
      <pivotArea dataOnly="0" labelOnly="1" outline="0" fieldPosition="0">
        <references count="1">
          <reference field="4294967294" count="6">
            <x v="1"/>
            <x v="2"/>
            <x v="3"/>
            <x v="4"/>
            <x v="5"/>
            <x v="6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0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2" type="button" dataOnly="0" labelOnly="1" outline="0" axis="axisRow" fieldPosition="0"/>
    </format>
    <format dxfId="204">
      <pivotArea dataOnly="0" labelOnly="1" fieldPosition="0">
        <references count="1">
          <reference field="2" count="0"/>
        </references>
      </pivotArea>
    </format>
    <format dxfId="203">
      <pivotArea dataOnly="0" labelOnly="1" grandRow="1" outline="0" fieldPosition="0"/>
    </format>
    <format dxfId="20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1">
      <pivotArea collapsedLevelsAreSubtotals="1" fieldPosition="0">
        <references count="1">
          <reference field="2" count="0"/>
        </references>
      </pivotArea>
    </format>
    <format dxfId="200">
      <pivotArea field="2" type="button" dataOnly="0" labelOnly="1" outline="0" axis="axisRow" fieldPosition="0"/>
    </format>
    <format dxfId="199">
      <pivotArea dataOnly="0" labelOnly="1" fieldPosition="0">
        <references count="1">
          <reference field="2" count="0"/>
        </references>
      </pivotArea>
    </format>
    <format dxfId="19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2">
    <chartFormat chart="19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3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9" format="25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9" format="26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9" format="27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CE510-134C-43BD-A0E2-D0AC72348F61}" name="TablaDinámica2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6" rowHeaderCaption="ÍNDICE DE FRECUENCIA (IF) EN FUNCIÓN DE ACCIDENTES PERSONALES - Comparativo Holding" fieldListSortAscending="1">
  <location ref="C10:G12" firstHeaderRow="0" firstDataRow="1" firstDataCol="1"/>
  <pivotFields count="68">
    <pivotField showAll="0"/>
    <pivotField showAll="0"/>
    <pivotField axis="axisRow" showAll="0">
      <items count="53">
        <item h="1" x="3"/>
        <item h="1" x="6"/>
        <item h="1" x="50"/>
        <item h="1" x="5"/>
        <item h="1" x="12"/>
        <item h="1" x="19"/>
        <item h="1" x="16"/>
        <item h="1" x="9"/>
        <item h="1" x="8"/>
        <item h="1" x="10"/>
        <item h="1" x="4"/>
        <item h="1" x="46"/>
        <item h="1" x="45"/>
        <item h="1" x="47"/>
        <item h="1" x="14"/>
        <item h="1" x="15"/>
        <item n="Índice de Frecuencia (IF). Accidentes personales con pérdidas de días" sd="0" x="0"/>
        <item h="1" x="43"/>
        <item h="1" x="13"/>
        <item h="1" x="44"/>
        <item h="1" x="7"/>
        <item h="1" x="11"/>
        <item h="1" x="49"/>
        <item h="1" x="18"/>
        <item h="1" x="20"/>
        <item h="1" x="21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- TBG NOV" fld="58" baseField="2" baseItem="16"/>
    <dataField name="- CNX NOV" fld="60" baseField="2" baseItem="16"/>
    <dataField name="- BV NOV" fld="59" baseField="2" baseItem="16"/>
    <dataField name="- CSH NOV" fld="61" baseField="2" baseItem="16"/>
  </dataFields>
  <formats count="64">
    <format dxfId="335">
      <pivotArea grandRow="1" outline="0" collapsedLevelsAreSubtotals="1" fieldPosition="0"/>
    </format>
    <format dxfId="334">
      <pivotArea type="all" dataOnly="0" outline="0" fieldPosition="0"/>
    </format>
    <format dxfId="333">
      <pivotArea outline="0" collapsedLevelsAreSubtotals="1" fieldPosition="0"/>
    </format>
    <format dxfId="332">
      <pivotArea field="2" type="button" dataOnly="0" labelOnly="1" outline="0" axis="axisRow" fieldPosition="0"/>
    </format>
    <format dxfId="331">
      <pivotArea dataOnly="0" labelOnly="1" grandRow="1" outline="0" fieldPosition="0"/>
    </format>
    <format dxfId="330">
      <pivotArea type="all" dataOnly="0" outline="0" fieldPosition="0"/>
    </format>
    <format dxfId="329">
      <pivotArea field="2" type="button" dataOnly="0" labelOnly="1" outline="0" axis="axisRow" fieldPosition="0"/>
    </format>
    <format dxfId="328">
      <pivotArea outline="0" collapsedLevelsAreSubtotals="1" fieldPosition="0"/>
    </format>
    <format dxfId="327">
      <pivotArea outline="0" collapsedLevelsAreSubtotals="1" fieldPosition="0"/>
    </format>
    <format dxfId="326">
      <pivotArea outline="0" collapsedLevelsAreSubtotals="1" fieldPosition="0"/>
    </format>
    <format dxfId="325">
      <pivotArea field="2" type="button" dataOnly="0" labelOnly="1" outline="0" axis="axisRow" fieldPosition="0"/>
    </format>
    <format dxfId="324">
      <pivotArea field="2" type="button" dataOnly="0" labelOnly="1" outline="0" axis="axisRow" fieldPosition="0"/>
    </format>
    <format dxfId="323">
      <pivotArea collapsedLevelsAreSubtotals="1" fieldPosition="0">
        <references count="1">
          <reference field="2" count="0"/>
        </references>
      </pivotArea>
    </format>
    <format dxfId="322">
      <pivotArea dataOnly="0" labelOnly="1" fieldPosition="0">
        <references count="1">
          <reference field="2" count="0"/>
        </references>
      </pivotArea>
    </format>
    <format dxfId="321">
      <pivotArea collapsedLevelsAreSubtotals="1" fieldPosition="0">
        <references count="1">
          <reference field="2" count="0"/>
        </references>
      </pivotArea>
    </format>
    <format dxfId="320">
      <pivotArea dataOnly="0" labelOnly="1" fieldPosition="0">
        <references count="1">
          <reference field="2" count="0"/>
        </references>
      </pivotArea>
    </format>
    <format dxfId="319">
      <pivotArea field="2" type="button" dataOnly="0" labelOnly="1" outline="0" axis="axisRow" fieldPosition="0"/>
    </format>
    <format dxfId="318">
      <pivotArea field="2" type="button" dataOnly="0" labelOnly="1" outline="0" axis="axisRow" fieldPosition="0"/>
    </format>
    <format dxfId="317">
      <pivotArea dataOnly="0" labelOnly="1" fieldPosition="0">
        <references count="1">
          <reference field="2" count="0"/>
        </references>
      </pivotArea>
    </format>
    <format dxfId="316">
      <pivotArea dataOnly="0" labelOnly="1" fieldPosition="0">
        <references count="1">
          <reference field="2" count="0"/>
        </references>
      </pivotArea>
    </format>
    <format dxfId="315">
      <pivotArea dataOnly="0" labelOnly="1" fieldPosition="0">
        <references count="1">
          <reference field="2" count="0"/>
        </references>
      </pivotArea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field="2" type="button" dataOnly="0" labelOnly="1" outline="0" axis="axisRow" fieldPosition="0"/>
    </format>
    <format dxfId="311">
      <pivotArea dataOnly="0" labelOnly="1" grandRow="1" outline="0" fieldPosition="0"/>
    </format>
    <format dxfId="310">
      <pivotArea field="2" type="button" dataOnly="0" labelOnly="1" outline="0" axis="axisRow" fieldPosition="0"/>
    </format>
    <format dxfId="309">
      <pivotArea collapsedLevelsAreSubtotals="1" fieldPosition="0">
        <references count="1">
          <reference field="2" count="0"/>
        </references>
      </pivotArea>
    </format>
    <format dxfId="308">
      <pivotArea dataOnly="0" labelOnly="1" fieldPosition="0">
        <references count="1">
          <reference field="2" count="0"/>
        </references>
      </pivotArea>
    </format>
    <format dxfId="307">
      <pivotArea collapsedLevelsAreSubtotals="1" fieldPosition="0">
        <references count="1">
          <reference field="2" count="1">
            <x v="4"/>
          </reference>
        </references>
      </pivotArea>
    </format>
    <format dxfId="306">
      <pivotArea type="all" dataOnly="0" outline="0" fieldPosition="0"/>
    </format>
    <format dxfId="305">
      <pivotArea outline="0" collapsedLevelsAreSubtotals="1" fieldPosition="0"/>
    </format>
    <format dxfId="304">
      <pivotArea field="2" type="button" dataOnly="0" labelOnly="1" outline="0" axis="axisRow" fieldPosition="0"/>
    </format>
    <format dxfId="303">
      <pivotArea dataOnly="0" labelOnly="1" fieldPosition="0">
        <references count="1">
          <reference field="2" count="0"/>
        </references>
      </pivotArea>
    </format>
    <format dxfId="302">
      <pivotArea dataOnly="0" labelOnly="1" grandRow="1" outline="0" fieldPosition="0"/>
    </format>
    <format dxfId="301">
      <pivotArea type="all" dataOnly="0" outline="0" fieldPosition="0"/>
    </format>
    <format dxfId="300">
      <pivotArea collapsedLevelsAreSubtotals="1" fieldPosition="0">
        <references count="1">
          <reference field="2" count="0"/>
        </references>
      </pivotArea>
    </format>
    <format dxfId="299">
      <pivotArea collapsedLevelsAreSubtotals="1" fieldPosition="0">
        <references count="1">
          <reference field="2" count="0"/>
        </references>
      </pivotArea>
    </format>
    <format dxfId="298">
      <pivotArea collapsedLevelsAreSubtotals="1" fieldPosition="0">
        <references count="1">
          <reference field="2" count="0"/>
        </references>
      </pivotArea>
    </format>
    <format dxfId="297">
      <pivotArea collapsedLevelsAreSubtotals="1" fieldPosition="0">
        <references count="1">
          <reference field="2" count="0"/>
        </references>
      </pivotArea>
    </format>
    <format dxfId="296">
      <pivotArea collapsedLevelsAreSubtotals="1" fieldPosition="0">
        <references count="1">
          <reference field="2" count="0"/>
        </references>
      </pivotArea>
    </format>
    <format dxfId="295">
      <pivotArea collapsedLevelsAreSubtotals="1" fieldPosition="0">
        <references count="1">
          <reference field="2" count="0"/>
        </references>
      </pivotArea>
    </format>
    <format dxfId="294">
      <pivotArea type="all" dataOnly="0" outline="0" fieldPosition="0"/>
    </format>
    <format dxfId="293">
      <pivotArea outline="0" collapsedLevelsAreSubtotals="1" fieldPosition="0"/>
    </format>
    <format dxfId="292">
      <pivotArea field="2" type="button" dataOnly="0" labelOnly="1" outline="0" axis="axisRow" fieldPosition="0"/>
    </format>
    <format dxfId="291">
      <pivotArea dataOnly="0" labelOnly="1" fieldPosition="0">
        <references count="1">
          <reference field="2" count="0"/>
        </references>
      </pivotArea>
    </format>
    <format dxfId="290">
      <pivotArea dataOnly="0" labelOnly="1" grandRow="1" outline="0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2" type="button" dataOnly="0" labelOnly="1" outline="0" axis="axisRow" fieldPosition="0"/>
    </format>
    <format dxfId="286">
      <pivotArea dataOnly="0" labelOnly="1" fieldPosition="0">
        <references count="1">
          <reference field="2" count="0"/>
        </references>
      </pivotArea>
    </format>
    <format dxfId="285">
      <pivotArea dataOnly="0" labelOnly="1" grandRow="1" outline="0" fieldPosition="0"/>
    </format>
    <format dxfId="284">
      <pivotArea type="all" dataOnly="0" outline="0" fieldPosition="0"/>
    </format>
    <format dxfId="283">
      <pivotArea outline="0" collapsedLevelsAreSubtotals="1" fieldPosition="0"/>
    </format>
    <format dxfId="282">
      <pivotArea field="2" type="button" dataOnly="0" labelOnly="1" outline="0" axis="axisRow" fieldPosition="0"/>
    </format>
    <format dxfId="281">
      <pivotArea dataOnly="0" labelOnly="1" fieldPosition="0">
        <references count="1">
          <reference field="2" count="0"/>
        </references>
      </pivotArea>
    </format>
    <format dxfId="280">
      <pivotArea dataOnly="0" labelOnly="1" grandRow="1" outline="0" fieldPosition="0"/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field="2" type="button" dataOnly="0" labelOnly="1" outline="0" axis="axisRow" fieldPosition="0"/>
    </format>
    <format dxfId="276">
      <pivotArea dataOnly="0" labelOnly="1" fieldPosition="0">
        <references count="1">
          <reference field="2" count="0"/>
        </references>
      </pivotArea>
    </format>
    <format dxfId="275">
      <pivotArea dataOnly="0" labelOnly="1" grandRow="1" outline="0" fieldPosition="0"/>
    </format>
    <format dxfId="274">
      <pivotArea collapsedLevelsAreSubtotals="1" fieldPosition="0">
        <references count="1">
          <reference field="2" count="0"/>
        </references>
      </pivotArea>
    </format>
    <format dxfId="273">
      <pivotArea field="2" type="button" dataOnly="0" labelOnly="1" outline="0" axis="axisRow" fieldPosition="0"/>
    </format>
    <format dxfId="272">
      <pivotArea dataOnly="0" labelOnly="1" fieldPosition="0">
        <references count="1">
          <reference field="2" count="0"/>
        </references>
      </pivotArea>
    </format>
  </formats>
  <chartFormats count="4">
    <chartFormat chart="31" format="9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9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9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1" format="9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4F4A7-3B42-4F9B-8705-08DF0848EF06}" name="TablaDinámica3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 rowHeaderCaption="PROGRAMA CERO (Generación y Cierre de Tarjetas)" fieldListSortAscending="1">
  <location ref="C173:G176" firstHeaderRow="0" firstDataRow="1" firstDataCol="1"/>
  <pivotFields count="62">
    <pivotField showAll="0"/>
    <pivotField axis="axisRow" showAll="0">
      <items count="60">
        <item h="1" x="3"/>
        <item h="1" x="6"/>
        <item h="1" x="50"/>
        <item x="5"/>
        <item h="1" x="12"/>
        <item h="1" m="1" x="58"/>
        <item h="1" x="19"/>
        <item h="1" m="1" x="53"/>
        <item h="1" m="1" x="57"/>
        <item h="1" x="16"/>
        <item h="1" m="1" x="56"/>
        <item h="1" x="9"/>
        <item h="1" x="8"/>
        <item h="1" x="10"/>
        <item x="4"/>
        <item h="1" x="46"/>
        <item h="1" x="45"/>
        <item h="1" x="47"/>
        <item h="1" x="14"/>
        <item h="1" x="15"/>
        <item h="1" sd="0" x="0"/>
        <item h="1" m="1" x="52"/>
        <item h="1" x="43"/>
        <item h="1" x="13"/>
        <item h="1" x="44"/>
        <item h="1" m="1" x="55"/>
        <item h="1" x="7"/>
        <item h="1" x="11"/>
        <item h="1" x="49"/>
        <item h="1" x="18"/>
        <item h="1" x="20"/>
        <item h="1" x="21"/>
        <item h="1" m="1" x="54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3">
    <i>
      <x v="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- TBG NOV" fld="57" baseField="1" baseItem="3"/>
    <dataField name="- CNX NOV" fld="59" baseField="1" baseItem="3"/>
    <dataField name="- BV NOV" fld="58" baseField="1" baseItem="3"/>
    <dataField name="- CSH NOV" fld="60" baseField="1" baseItem="3"/>
  </dataFields>
  <formats count="47">
    <format dxfId="382">
      <pivotArea grandRow="1" outline="0" collapsedLevelsAreSubtotals="1" fieldPosition="0"/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field="1" type="button" dataOnly="0" labelOnly="1" outline="0" axis="axisRow" fieldPosition="0"/>
    </format>
    <format dxfId="378">
      <pivotArea dataOnly="0" labelOnly="1" grandRow="1" outline="0" fieldPosition="0"/>
    </format>
    <format dxfId="377">
      <pivotArea type="all" dataOnly="0" outline="0" fieldPosition="0"/>
    </format>
    <format dxfId="376">
      <pivotArea field="1" type="button" dataOnly="0" labelOnly="1" outline="0" axis="axisRow" fieldPosition="0"/>
    </format>
    <format dxfId="375">
      <pivotArea outline="0" collapsedLevelsAreSubtotals="1" fieldPosition="0"/>
    </format>
    <format dxfId="374">
      <pivotArea outline="0" collapsedLevelsAreSubtotals="1" fieldPosition="0"/>
    </format>
    <format dxfId="373">
      <pivotArea outline="0" collapsedLevelsAreSubtotals="1" fieldPosition="0"/>
    </format>
    <format dxfId="372">
      <pivotArea field="1" type="button" dataOnly="0" labelOnly="1" outline="0" axis="axisRow" fieldPosition="0"/>
    </format>
    <format dxfId="371">
      <pivotArea field="1" type="button" dataOnly="0" labelOnly="1" outline="0" axis="axisRow" fieldPosition="0"/>
    </format>
    <format dxfId="370">
      <pivotArea outline="0" collapsedLevelsAreSubtotals="1" fieldPosition="0"/>
    </format>
    <format dxfId="369">
      <pivotArea field="1" type="button" dataOnly="0" labelOnly="1" outline="0" axis="axisRow" fieldPosition="0"/>
    </format>
    <format dxfId="368">
      <pivotArea field="1" type="button" dataOnly="0" labelOnly="1" outline="0" axis="axisRow" fieldPosition="0"/>
    </format>
    <format dxfId="367">
      <pivotArea field="1" type="button" dataOnly="0" labelOnly="1" outline="0" axis="axisRow" fieldPosition="0"/>
    </format>
    <format dxfId="366">
      <pivotArea field="1" type="button" dataOnly="0" labelOnly="1" outline="0" axis="axisRow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dataOnly="0" labelOnly="1" grandRow="1" outline="0" fieldPosition="0"/>
    </format>
    <format dxfId="362">
      <pivotArea collapsedLevelsAreSubtotals="1" fieldPosition="0">
        <references count="1">
          <reference field="1" count="0"/>
        </references>
      </pivotArea>
    </format>
    <format dxfId="361">
      <pivotArea field="1" type="button" dataOnly="0" labelOnly="1" outline="0" axis="axisRow" fieldPosition="0"/>
    </format>
    <format dxfId="360">
      <pivotArea dataOnly="0" labelOnly="1" fieldPosition="0">
        <references count="1">
          <reference field="1" count="0"/>
        </references>
      </pivotArea>
    </format>
    <format dxfId="359">
      <pivotArea field="1" type="button" dataOnly="0" labelOnly="1" outline="0" axis="axisRow" fieldPosition="0"/>
    </format>
    <format dxfId="358">
      <pivotArea field="1" type="button" dataOnly="0" labelOnly="1" outline="0" axis="axisRow" fieldPosition="0"/>
    </format>
    <format dxfId="357">
      <pivotArea type="all" dataOnly="0" outline="0" fieldPosition="0"/>
    </format>
    <format dxfId="356">
      <pivotArea type="all" dataOnly="0" outline="0" fieldPosition="0"/>
    </format>
    <format dxfId="355">
      <pivotArea collapsedLevelsAreSubtotals="1" fieldPosition="0">
        <references count="1">
          <reference field="1" count="0"/>
        </references>
      </pivotArea>
    </format>
    <format dxfId="354">
      <pivotArea collapsedLevelsAreSubtotals="1" fieldPosition="0">
        <references count="1">
          <reference field="1" count="0"/>
        </references>
      </pivotArea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1" type="button" dataOnly="0" labelOnly="1" outline="0" axis="axisRow" fieldPosition="0"/>
    </format>
    <format dxfId="350">
      <pivotArea dataOnly="0" labelOnly="1" fieldPosition="0">
        <references count="1">
          <reference field="1" count="0"/>
        </references>
      </pivotArea>
    </format>
    <format dxfId="349">
      <pivotArea dataOnly="0" labelOnly="1" grandRow="1" outline="0" fieldPosition="0"/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1" type="button" dataOnly="0" labelOnly="1" outline="0" axis="axisRow" fieldPosition="0"/>
    </format>
    <format dxfId="345">
      <pivotArea dataOnly="0" labelOnly="1" fieldPosition="0">
        <references count="1">
          <reference field="1" count="0"/>
        </references>
      </pivotArea>
    </format>
    <format dxfId="344">
      <pivotArea dataOnly="0" labelOnly="1" grandRow="1" outline="0" fieldPosition="0"/>
    </format>
    <format dxfId="343">
      <pivotArea type="all" dataOnly="0" outline="0" fieldPosition="0"/>
    </format>
    <format dxfId="342">
      <pivotArea outline="0" collapsedLevelsAreSubtotals="1" fieldPosition="0"/>
    </format>
    <format dxfId="341">
      <pivotArea field="1" type="button" dataOnly="0" labelOnly="1" outline="0" axis="axisRow" fieldPosition="0"/>
    </format>
    <format dxfId="340">
      <pivotArea dataOnly="0" labelOnly="1" fieldPosition="0">
        <references count="1">
          <reference field="1" count="0"/>
        </references>
      </pivotArea>
    </format>
    <format dxfId="339">
      <pivotArea dataOnly="0" labelOnly="1" grandRow="1" outline="0" fieldPosition="0"/>
    </format>
    <format dxfId="338">
      <pivotArea collapsedLevelsAreSubtotals="1" fieldPosition="0">
        <references count="1">
          <reference field="1" count="0"/>
        </references>
      </pivotArea>
    </format>
    <format dxfId="337">
      <pivotArea field="1" type="button" dataOnly="0" labelOnly="1" outline="0" axis="axisRow" fieldPosition="0"/>
    </format>
    <format dxfId="336">
      <pivotArea dataOnly="0" labelOnly="1" fieldPosition="0">
        <references count="1">
          <reference field="1" count="0"/>
        </references>
      </pivotArea>
    </format>
  </formats>
  <chartFormats count="4">
    <chartFormat chart="25" format="8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8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817E6-E6AF-42FA-B5DE-B61A9174481B}" name="TablaDinámica28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 rowHeaderCaption="1.1) Indice de frecuencia TRIBOILGAS " fieldListSortAscending="1">
  <location ref="C40:O42" firstHeaderRow="0" firstDataRow="1" firstDataCol="1"/>
  <pivotFields count="68">
    <pivotField showAll="0"/>
    <pivotField showAll="0"/>
    <pivotField axis="axisRow" showAll="0">
      <items count="53">
        <item h="1" x="3"/>
        <item h="1" x="6"/>
        <item h="1" x="50"/>
        <item h="1" x="5"/>
        <item h="1" x="12"/>
        <item h="1" x="19"/>
        <item h="1" x="16"/>
        <item h="1" x="9"/>
        <item h="1" x="8"/>
        <item h="1" x="10"/>
        <item h="1" x="4"/>
        <item h="1" x="46"/>
        <item h="1" x="45"/>
        <item h="1" x="47"/>
        <item h="1" x="14"/>
        <item h="1" x="15"/>
        <item sd="0" x="0"/>
        <item h="1" x="43"/>
        <item h="1" x="13"/>
        <item h="1" x="44"/>
        <item h="1" x="7"/>
        <item h="1" x="11"/>
        <item h="1" x="49"/>
        <item h="1" x="18"/>
        <item h="1" x="20"/>
        <item h="1" x="21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2">
    <i>
      <x v="1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- TBG ENE" fld="8" baseField="2" baseItem="22"/>
    <dataField name="- TBG FEB" fld="13" baseField="2" baseItem="22"/>
    <dataField name="- TBG MAR" fld="18" baseField="2" baseItem="22"/>
    <dataField name="- TBG ABR" fld="23" baseField="2" baseItem="22"/>
    <dataField name="-TBG MAY" fld="28" baseField="1" baseItem="25"/>
    <dataField name="-TBG JUN" fld="33" baseField="1" baseItem="25"/>
    <dataField name="- TBG JUL" fld="38" baseField="2" baseItem="22"/>
    <dataField name="- TBG AGO" fld="43" baseField="2" baseItem="22"/>
    <dataField name="- TBG SEP" fld="48" baseField="2" baseItem="22"/>
    <dataField name="- TBG OCT" fld="53" baseField="2" baseItem="22"/>
    <dataField name="- TBG NOV" fld="58" baseField="2" baseItem="22"/>
    <dataField name="- TBG DIC" fld="63" baseField="2" baseItem="16"/>
  </dataFields>
  <formats count="69">
    <format dxfId="451">
      <pivotArea grandRow="1" outline="0" collapsedLevelsAreSubtotals="1" fieldPosition="0"/>
    </format>
    <format dxfId="450">
      <pivotArea type="all" dataOnly="0" outline="0" fieldPosition="0"/>
    </format>
    <format dxfId="449">
      <pivotArea outline="0" collapsedLevelsAreSubtotals="1" fieldPosition="0"/>
    </format>
    <format dxfId="448">
      <pivotArea field="2" type="button" dataOnly="0" labelOnly="1" outline="0" axis="axisRow" fieldPosition="0"/>
    </format>
    <format dxfId="447">
      <pivotArea dataOnly="0" labelOnly="1" grandRow="1" outline="0" fieldPosition="0"/>
    </format>
    <format dxfId="446">
      <pivotArea type="all" dataOnly="0" outline="0" fieldPosition="0"/>
    </format>
    <format dxfId="445">
      <pivotArea field="2" type="button" dataOnly="0" labelOnly="1" outline="0" axis="axisRow" fieldPosition="0"/>
    </format>
    <format dxfId="444">
      <pivotArea outline="0" collapsedLevelsAreSubtotals="1" fieldPosition="0"/>
    </format>
    <format dxfId="443">
      <pivotArea outline="0" collapsedLevelsAreSubtotals="1" fieldPosition="0"/>
    </format>
    <format dxfId="442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41">
      <pivotArea outline="0" collapsedLevelsAreSubtotals="1" fieldPosition="0"/>
    </format>
    <format dxfId="440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9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7">
      <pivotArea field="2" type="button" dataOnly="0" labelOnly="1" outline="0" axis="axisRow" fieldPosition="0"/>
    </format>
    <format dxfId="436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5">
      <pivotArea field="2" type="button" dataOnly="0" labelOnly="1" outline="0" axis="axisRow" fieldPosition="0"/>
    </format>
    <format dxfId="43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3">
      <pivotArea collapsedLevelsAreSubtotals="1" fieldPosition="0">
        <references count="1">
          <reference field="2" count="0"/>
        </references>
      </pivotArea>
    </format>
    <format dxfId="432">
      <pivotArea dataOnly="0" labelOnly="1" fieldPosition="0">
        <references count="1">
          <reference field="2" count="0"/>
        </references>
      </pivotArea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dataOnly="0" labelOnly="1" grandRow="1" outline="0" fieldPosition="0"/>
    </format>
    <format dxfId="428">
      <pivotArea collapsedLevelsAreSubtotals="1" fieldPosition="0">
        <references count="1">
          <reference field="2" count="0"/>
        </references>
      </pivotArea>
    </format>
    <format dxfId="427">
      <pivotArea field="2" type="button" dataOnly="0" labelOnly="1" outline="0" axis="axisRow" fieldPosition="0"/>
    </format>
    <format dxfId="426">
      <pivotArea dataOnly="0" labelOnly="1" fieldPosition="0">
        <references count="1">
          <reference field="2" count="0"/>
        </references>
      </pivotArea>
    </format>
    <format dxfId="42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24">
      <pivotArea collapsedLevelsAreSubtotals="1" fieldPosition="0">
        <references count="1">
          <reference field="2" count="0"/>
        </references>
      </pivotArea>
    </format>
    <format dxfId="423">
      <pivotArea dataOnly="0" labelOnly="1" fieldPosition="0">
        <references count="1">
          <reference field="2" count="0"/>
        </references>
      </pivotArea>
    </format>
    <format dxfId="422">
      <pivotArea type="all" dataOnly="0" outline="0" fieldPosition="0"/>
    </format>
    <format dxfId="421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20">
      <pivotArea dataOnly="0" outline="0" fieldPosition="0">
        <references count="1">
          <reference field="4294967294" count="2">
            <x v="4"/>
            <x v="5"/>
          </reference>
        </references>
      </pivotArea>
    </format>
    <format dxfId="4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18">
      <pivotArea type="all" dataOnly="0" outline="0" fieldPosition="0"/>
    </format>
    <format dxfId="417">
      <pivotArea collapsedLevelsAreSubtotals="1" fieldPosition="0">
        <references count="1">
          <reference field="2" count="0"/>
        </references>
      </pivotArea>
    </format>
    <format dxfId="416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15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14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1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1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2" type="button" dataOnly="0" labelOnly="1" outline="0" axis="axisRow" fieldPosition="0"/>
    </format>
    <format dxfId="408">
      <pivotArea dataOnly="0" labelOnly="1" fieldPosition="0">
        <references count="1">
          <reference field="2" count="0"/>
        </references>
      </pivotArea>
    </format>
    <format dxfId="407">
      <pivotArea dataOnly="0" labelOnly="1" grandRow="1" outline="0" fieldPosition="0"/>
    </format>
    <format dxfId="40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05">
      <pivotArea type="all" dataOnly="0" outline="0" fieldPosition="0"/>
    </format>
    <format dxfId="404">
      <pivotArea outline="0" collapsedLevelsAreSubtotals="1" fieldPosition="0"/>
    </format>
    <format dxfId="403">
      <pivotArea field="2" type="button" dataOnly="0" labelOnly="1" outline="0" axis="axisRow" fieldPosition="0"/>
    </format>
    <format dxfId="402">
      <pivotArea dataOnly="0" labelOnly="1" fieldPosition="0">
        <references count="1">
          <reference field="2" count="0"/>
        </references>
      </pivotArea>
    </format>
    <format dxfId="401">
      <pivotArea dataOnly="0" labelOnly="1" grandRow="1" outline="0" fieldPosition="0"/>
    </format>
    <format dxfId="40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field="2" type="button" dataOnly="0" labelOnly="1" outline="0" axis="axisRow" fieldPosition="0"/>
    </format>
    <format dxfId="396">
      <pivotArea dataOnly="0" labelOnly="1" fieldPosition="0">
        <references count="1">
          <reference field="2" count="0"/>
        </references>
      </pivotArea>
    </format>
    <format dxfId="395">
      <pivotArea dataOnly="0" labelOnly="1" grandRow="1" outline="0" fieldPosition="0"/>
    </format>
    <format dxfId="39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8"/>
            <x v="9"/>
          </reference>
        </references>
      </pivotArea>
    </format>
    <format dxfId="393">
      <pivotArea dataOnly="0" labelOnly="1" outline="0" fieldPosition="0">
        <references count="1">
          <reference field="4294967294" count="5">
            <x v="7"/>
            <x v="8"/>
            <x v="9"/>
            <x v="10"/>
            <x v="11"/>
          </reference>
        </references>
      </pivotArea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field="2" type="button" dataOnly="0" labelOnly="1" outline="0" axis="axisRow" fieldPosition="0"/>
    </format>
    <format dxfId="389">
      <pivotArea dataOnly="0" labelOnly="1" fieldPosition="0">
        <references count="1">
          <reference field="2" count="0"/>
        </references>
      </pivotArea>
    </format>
    <format dxfId="388">
      <pivotArea dataOnly="0" labelOnly="1" grandRow="1" outline="0" fieldPosition="0"/>
    </format>
    <format dxfId="38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6">
      <pivotArea collapsedLevelsAreSubtotals="1" fieldPosition="0">
        <references count="1">
          <reference field="2" count="0"/>
        </references>
      </pivotArea>
    </format>
    <format dxfId="385">
      <pivotArea field="2" type="button" dataOnly="0" labelOnly="1" outline="0" axis="axisRow" fieldPosition="0"/>
    </format>
    <format dxfId="384">
      <pivotArea dataOnly="0" labelOnly="1" fieldPosition="0">
        <references count="1">
          <reference field="2" count="0"/>
        </references>
      </pivotArea>
    </format>
    <format dxfId="38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6">
    <chartFormat chart="15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4" format="2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4" format="31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4" format="32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4" format="3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4" format="37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4" format="38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9F89F-6B96-40EA-A313-9EB58A546283}" name="TablaDinámica3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 rowHeaderCaption="GESTIÓN DE SALUD OCUPACIONAL" fieldListSortAscending="1">
  <location ref="C220:G222" firstHeaderRow="0" firstDataRow="1" firstDataCol="1"/>
  <pivotFields count="62">
    <pivotField showAll="0"/>
    <pivotField axis="axisRow" showAll="0">
      <items count="60">
        <item h="1" x="3"/>
        <item h="1" x="6"/>
        <item h="1" x="50"/>
        <item h="1" x="5"/>
        <item h="1" x="12"/>
        <item h="1" m="1" x="58"/>
        <item h="1" x="19"/>
        <item h="1" m="1" x="53"/>
        <item h="1" m="1" x="57"/>
        <item x="16"/>
        <item h="1" m="1" x="56"/>
        <item h="1" x="9"/>
        <item h="1" x="8"/>
        <item h="1" x="10"/>
        <item h="1" x="4"/>
        <item h="1" x="46"/>
        <item h="1" x="45"/>
        <item h="1" x="47"/>
        <item h="1" x="14"/>
        <item h="1" x="15"/>
        <item h="1" sd="0" x="0"/>
        <item h="1" m="1" x="52"/>
        <item h="1" x="43"/>
        <item h="1" x="13"/>
        <item h="1" x="44"/>
        <item h="1" m="1" x="55"/>
        <item h="1" x="7"/>
        <item h="1" x="11"/>
        <item h="1" x="49"/>
        <item h="1" x="18"/>
        <item h="1" x="20"/>
        <item h="1" x="21"/>
        <item h="1" m="1" x="54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2"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- TBG NOV" fld="57" baseField="1" baseItem="9"/>
    <dataField name="- CNX NOV" fld="59" baseField="1" baseItem="9"/>
    <dataField name="- BV NOV" fld="58" baseField="1" baseItem="9"/>
    <dataField name="- CSH NOV" fld="60" baseField="1" baseItem="9"/>
  </dataFields>
  <formats count="47">
    <format dxfId="498">
      <pivotArea grandRow="1" outline="0" collapsedLevelsAreSubtotals="1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field="1" type="button" dataOnly="0" labelOnly="1" outline="0" axis="axisRow" fieldPosition="0"/>
    </format>
    <format dxfId="494">
      <pivotArea dataOnly="0" labelOnly="1" grandRow="1" outline="0" fieldPosition="0"/>
    </format>
    <format dxfId="493">
      <pivotArea type="all" dataOnly="0" outline="0" fieldPosition="0"/>
    </format>
    <format dxfId="492">
      <pivotArea field="1" type="button" dataOnly="0" labelOnly="1" outline="0" axis="axisRow" fieldPosition="0"/>
    </format>
    <format dxfId="491">
      <pivotArea outline="0" collapsedLevelsAreSubtotals="1" fieldPosition="0"/>
    </format>
    <format dxfId="490">
      <pivotArea outline="0" collapsedLevelsAreSubtotals="1" fieldPosition="0"/>
    </format>
    <format dxfId="489">
      <pivotArea outline="0" collapsedLevelsAreSubtotals="1" fieldPosition="0"/>
    </format>
    <format dxfId="488">
      <pivotArea field="1" type="button" dataOnly="0" labelOnly="1" outline="0" axis="axisRow" fieldPosition="0"/>
    </format>
    <format dxfId="487">
      <pivotArea field="1" type="button" dataOnly="0" labelOnly="1" outline="0" axis="axisRow" fieldPosition="0"/>
    </format>
    <format dxfId="486">
      <pivotArea outline="0" collapsedLevelsAreSubtotals="1" fieldPosition="0"/>
    </format>
    <format dxfId="485">
      <pivotArea field="1" type="button" dataOnly="0" labelOnly="1" outline="0" axis="axisRow" fieldPosition="0"/>
    </format>
    <format dxfId="484">
      <pivotArea field="1" type="button" dataOnly="0" labelOnly="1" outline="0" axis="axisRow" fieldPosition="0"/>
    </format>
    <format dxfId="483">
      <pivotArea type="all" dataOnly="0" outline="0" fieldPosition="0"/>
    </format>
    <format dxfId="482">
      <pivotArea outline="0" collapsedLevelsAreSubtotals="1" fieldPosition="0"/>
    </format>
    <format dxfId="481">
      <pivotArea field="1" type="button" dataOnly="0" labelOnly="1" outline="0" axis="axisRow" fieldPosition="0"/>
    </format>
    <format dxfId="480">
      <pivotArea dataOnly="0" labelOnly="1" grandRow="1" outline="0" fieldPosition="0"/>
    </format>
    <format dxfId="479">
      <pivotArea field="1" type="button" dataOnly="0" labelOnly="1" outline="0" axis="axisRow" fieldPosition="0"/>
    </format>
    <format dxfId="478">
      <pivotArea collapsedLevelsAreSubtotals="1" fieldPosition="0">
        <references count="1">
          <reference field="1" count="0"/>
        </references>
      </pivotArea>
    </format>
    <format dxfId="477">
      <pivotArea field="1" type="button" dataOnly="0" labelOnly="1" outline="0" axis="axisRow" fieldPosition="0"/>
    </format>
    <format dxfId="476">
      <pivotArea dataOnly="0" labelOnly="1" fieldPosition="0">
        <references count="1">
          <reference field="1" count="0"/>
        </references>
      </pivotArea>
    </format>
    <format dxfId="475">
      <pivotArea type="all" dataOnly="0" outline="0" fieldPosition="0"/>
    </format>
    <format dxfId="474">
      <pivotArea outline="0" collapsedLevelsAreSubtotals="1" fieldPosition="0"/>
    </format>
    <format dxfId="473">
      <pivotArea outline="0" collapsedLevelsAreSubtotals="1" fieldPosition="0"/>
    </format>
    <format dxfId="472">
      <pivotArea type="all" dataOnly="0" outline="0" fieldPosition="0"/>
    </format>
    <format dxfId="471">
      <pivotArea outline="0" collapsedLevelsAreSubtotals="1" fieldPosition="0"/>
    </format>
    <format dxfId="470">
      <pivotArea outline="0" collapsedLevelsAreSubtotals="1" fieldPosition="0"/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field="1" type="button" dataOnly="0" labelOnly="1" outline="0" axis="axisRow" fieldPosition="0"/>
    </format>
    <format dxfId="466">
      <pivotArea dataOnly="0" labelOnly="1" fieldPosition="0">
        <references count="1">
          <reference field="1" count="0"/>
        </references>
      </pivotArea>
    </format>
    <format dxfId="465">
      <pivotArea dataOnly="0" labelOnly="1" grandRow="1" outline="0" fieldPosition="0"/>
    </format>
    <format dxfId="464">
      <pivotArea type="all" dataOnly="0" outline="0" fieldPosition="0"/>
    </format>
    <format dxfId="463">
      <pivotArea outline="0" collapsedLevelsAreSubtotals="1" fieldPosition="0"/>
    </format>
    <format dxfId="462">
      <pivotArea field="1" type="button" dataOnly="0" labelOnly="1" outline="0" axis="axisRow" fieldPosition="0"/>
    </format>
    <format dxfId="461">
      <pivotArea dataOnly="0" labelOnly="1" fieldPosition="0">
        <references count="1">
          <reference field="1" count="0"/>
        </references>
      </pivotArea>
    </format>
    <format dxfId="460">
      <pivotArea dataOnly="0" labelOnly="1" grandRow="1" outline="0" fieldPosition="0"/>
    </format>
    <format dxfId="459">
      <pivotArea type="all" dataOnly="0" outline="0" fieldPosition="0"/>
    </format>
    <format dxfId="458">
      <pivotArea outline="0" collapsedLevelsAreSubtotals="1" fieldPosition="0"/>
    </format>
    <format dxfId="457">
      <pivotArea field="1" type="button" dataOnly="0" labelOnly="1" outline="0" axis="axisRow" fieldPosition="0"/>
    </format>
    <format dxfId="456">
      <pivotArea dataOnly="0" labelOnly="1" fieldPosition="0">
        <references count="1">
          <reference field="1" count="0"/>
        </references>
      </pivotArea>
    </format>
    <format dxfId="455">
      <pivotArea dataOnly="0" labelOnly="1" grandRow="1" outline="0" fieldPosition="0"/>
    </format>
    <format dxfId="454">
      <pivotArea collapsedLevelsAreSubtotals="1" fieldPosition="0">
        <references count="1">
          <reference field="1" count="0"/>
        </references>
      </pivotArea>
    </format>
    <format dxfId="453">
      <pivotArea field="1" type="button" dataOnly="0" labelOnly="1" outline="0" axis="axisRow" fieldPosition="0"/>
    </format>
    <format dxfId="452">
      <pivotArea dataOnly="0" labelOnly="1" fieldPosition="0">
        <references count="1">
          <reference field="1" count="0"/>
        </references>
      </pivotArea>
    </format>
  </formats>
  <chartFormats count="4">
    <chartFormat chart="28" format="8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DE102-2720-409C-A23B-3E07C242101F}" name="TablaDinámica2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 rowHeaderCaption="1.4) Indice de frecuencia TURCONAGRO " fieldListSortAscending="1">
  <location ref="C102:O104" firstHeaderRow="0" firstDataRow="1" firstDataCol="1"/>
  <pivotFields count="67">
    <pivotField showAll="0"/>
    <pivotField axis="axisRow" showAll="0">
      <items count="53">
        <item h="1" x="3"/>
        <item h="1" x="6"/>
        <item h="1" x="50"/>
        <item h="1" x="5"/>
        <item h="1" x="12"/>
        <item h="1" x="19"/>
        <item h="1" x="16"/>
        <item h="1" x="9"/>
        <item h="1" x="8"/>
        <item h="1" x="10"/>
        <item h="1" x="4"/>
        <item h="1" x="46"/>
        <item h="1" x="45"/>
        <item h="1" x="47"/>
        <item h="1" x="14"/>
        <item h="1" x="15"/>
        <item sd="0" x="0"/>
        <item h="1" x="43"/>
        <item h="1" x="13"/>
        <item h="1" x="44"/>
        <item h="1" x="7"/>
        <item h="1" x="11"/>
        <item h="1" x="49"/>
        <item h="1" x="18"/>
        <item h="1" x="20"/>
        <item h="1" x="21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1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- TUR ENE" fld="11" baseField="1" baseItem="16"/>
    <dataField name="- TUR FEB" fld="16" baseField="1" baseItem="16"/>
    <dataField name="- TUR MAR" fld="21" baseField="1" baseItem="25"/>
    <dataField name="- TUR ABR" fld="26" baseField="1" baseItem="25"/>
    <dataField name="-TUR MAY" fld="31" baseField="1" baseItem="25"/>
    <dataField name="-TUR JUN" fld="36" baseField="1" baseItem="25"/>
    <dataField name="- TUR JUL" fld="41" baseField="1" baseItem="20"/>
    <dataField name="- TUR AGO" fld="46" subtotal="count" baseField="1" baseItem="16"/>
    <dataField name="- TUR SEP" fld="51" baseField="1" baseItem="20"/>
    <dataField name="- TUR OCT" fld="56" baseField="1" baseItem="20"/>
    <dataField name="- TUR NOV" fld="61" baseField="1" baseItem="16"/>
    <dataField name="- TUR DIC" fld="66" baseField="1" baseItem="16"/>
  </dataFields>
  <formats count="73">
    <format dxfId="571">
      <pivotArea collapsedLevelsAreSubtotals="1" fieldPosition="0">
        <references count="1">
          <reference field="1" count="0"/>
        </references>
      </pivotArea>
    </format>
    <format dxfId="570">
      <pivotArea collapsedLevelsAreSubtotals="1" fieldPosition="0">
        <references count="1">
          <reference field="1" count="0"/>
        </references>
      </pivotArea>
    </format>
    <format dxfId="569">
      <pivotArea grandRow="1" outline="0" collapsedLevelsAreSubtotals="1" fieldPosition="0"/>
    </format>
    <format dxfId="568">
      <pivotArea type="all" dataOnly="0" outline="0" fieldPosition="0"/>
    </format>
    <format dxfId="567">
      <pivotArea outline="0" collapsedLevelsAreSubtotals="1" fieldPosition="0"/>
    </format>
    <format dxfId="566">
      <pivotArea field="1" type="button" dataOnly="0" labelOnly="1" outline="0" axis="axisRow" fieldPosition="0"/>
    </format>
    <format dxfId="565">
      <pivotArea dataOnly="0" labelOnly="1" fieldPosition="0">
        <references count="1">
          <reference field="1" count="0"/>
        </references>
      </pivotArea>
    </format>
    <format dxfId="564">
      <pivotArea dataOnly="0" labelOnly="1" grandRow="1" outline="0" fieldPosition="0"/>
    </format>
    <format dxfId="563">
      <pivotArea type="all" dataOnly="0" outline="0" fieldPosition="0"/>
    </format>
    <format dxfId="562">
      <pivotArea field="1" type="button" dataOnly="0" labelOnly="1" outline="0" axis="axisRow" fieldPosition="0"/>
    </format>
    <format dxfId="561">
      <pivotArea dataOnly="0" labelOnly="1" fieldPosition="0">
        <references count="1">
          <reference field="1" count="0"/>
        </references>
      </pivotArea>
    </format>
    <format dxfId="560">
      <pivotArea outline="0" collapsedLevelsAreSubtotals="1" fieldPosition="0"/>
    </format>
    <format dxfId="559">
      <pivotArea collapsedLevelsAreSubtotals="1" fieldPosition="0">
        <references count="1">
          <reference field="1" count="1">
            <x v="10"/>
          </reference>
        </references>
      </pivotArea>
    </format>
    <format dxfId="558">
      <pivotArea collapsedLevelsAreSubtotals="1" fieldPosition="0">
        <references count="1">
          <reference field="1" count="7">
            <x v="3"/>
            <x v="4"/>
            <x v="5"/>
            <x v="6"/>
            <x v="7"/>
            <x v="8"/>
            <x v="9"/>
          </reference>
        </references>
      </pivotArea>
    </format>
    <format dxfId="557">
      <pivotArea collapsedLevelsAreSubtotals="1" fieldPosition="0">
        <references count="1">
          <reference field="1" count="1">
            <x v="1"/>
          </reference>
        </references>
      </pivotArea>
    </format>
    <format dxfId="556">
      <pivotArea collapsedLevelsAreSubtotals="1" fieldPosition="0">
        <references count="1">
          <reference field="1" count="1">
            <x v="2"/>
          </reference>
        </references>
      </pivotArea>
    </format>
    <format dxfId="555">
      <pivotArea outline="0" collapsedLevelsAreSubtotals="1" fieldPosition="0"/>
    </format>
    <format dxfId="554">
      <pivotArea outline="0" collapsedLevelsAreSubtotals="1" fieldPosition="0"/>
    </format>
    <format dxfId="553">
      <pivotArea field="1" type="button" dataOnly="0" labelOnly="1" outline="0" axis="axisRow" fieldPosition="0"/>
    </format>
    <format dxfId="552">
      <pivotArea field="1" type="button" dataOnly="0" labelOnly="1" outline="0" axis="axisRow" fieldPosition="0"/>
    </format>
    <format dxfId="551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50">
      <pivotArea field="1" type="button" dataOnly="0" labelOnly="1" outline="0" axis="axisRow" fieldPosition="0"/>
    </format>
    <format dxfId="549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48">
      <pivotArea field="1" type="button" dataOnly="0" labelOnly="1" outline="0" axis="axisRow" fieldPosition="0"/>
    </format>
    <format dxfId="547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46">
      <pivotArea collapsedLevelsAreSubtotals="1" fieldPosition="0">
        <references count="1">
          <reference field="1" count="0"/>
        </references>
      </pivotArea>
    </format>
    <format dxfId="545">
      <pivotArea dataOnly="0" labelOnly="1" fieldPosition="0">
        <references count="1">
          <reference field="1" count="0"/>
        </references>
      </pivotArea>
    </format>
    <format dxfId="544">
      <pivotArea type="all" dataOnly="0" outline="0" fieldPosition="0"/>
    </format>
    <format dxfId="543">
      <pivotArea outline="0" collapsedLevelsAreSubtotals="1" fieldPosition="0"/>
    </format>
    <format dxfId="542">
      <pivotArea dataOnly="0" labelOnly="1" grandRow="1" outline="0" fieldPosition="0"/>
    </format>
    <format dxfId="541">
      <pivotArea collapsedLevelsAreSubtotals="1" fieldPosition="0">
        <references count="1">
          <reference field="1" count="0"/>
        </references>
      </pivotArea>
    </format>
    <format dxfId="540">
      <pivotArea field="1" type="button" dataOnly="0" labelOnly="1" outline="0" axis="axisRow" fieldPosition="0"/>
    </format>
    <format dxfId="539">
      <pivotArea dataOnly="0" labelOnly="1" fieldPosition="0">
        <references count="1">
          <reference field="1" count="0"/>
        </references>
      </pivotArea>
    </format>
    <format dxfId="5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37">
      <pivotArea collapsedLevelsAreSubtotals="1" fieldPosition="0">
        <references count="1">
          <reference field="1" count="0"/>
        </references>
      </pivotArea>
    </format>
    <format dxfId="536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34">
      <pivotArea collapsedLevelsAreSubtotals="1" fieldPosition="0">
        <references count="1">
          <reference field="1" count="0"/>
        </references>
      </pivotArea>
    </format>
    <format dxfId="533">
      <pivotArea dataOnly="0" labelOnly="1" fieldPosition="0">
        <references count="1">
          <reference field="1" count="0"/>
        </references>
      </pivotArea>
    </format>
    <format dxfId="532">
      <pivotArea type="all" dataOnly="0" outline="0" fieldPosition="0"/>
    </format>
    <format dxfId="531">
      <pivotArea field="1" type="button" dataOnly="0" labelOnly="1" outline="0" axis="axisRow" fieldPosition="0"/>
    </format>
    <format dxfId="530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29">
      <pivotArea field="1" type="button" dataOnly="0" labelOnly="1" outline="0" axis="axisRow" fieldPosition="0"/>
    </format>
    <format dxfId="528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527">
      <pivotArea field="1" type="button" dataOnly="0" labelOnly="1" outline="0" axis="axisRow" fieldPosition="0"/>
    </format>
    <format dxfId="526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525">
      <pivotArea collapsedLevelsAreSubtotals="1" fieldPosition="0">
        <references count="1">
          <reference field="1" count="0"/>
        </references>
      </pivotArea>
    </format>
    <format dxfId="524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523">
      <pivotArea type="all" dataOnly="0" outline="0" fieldPosition="0"/>
    </format>
    <format dxfId="522">
      <pivotArea outline="0" collapsedLevelsAreSubtotals="1" fieldPosition="0"/>
    </format>
    <format dxfId="521">
      <pivotArea field="1" type="button" dataOnly="0" labelOnly="1" outline="0" axis="axisRow" fieldPosition="0"/>
    </format>
    <format dxfId="520">
      <pivotArea dataOnly="0" labelOnly="1" fieldPosition="0">
        <references count="1">
          <reference field="1" count="0"/>
        </references>
      </pivotArea>
    </format>
    <format dxfId="519">
      <pivotArea dataOnly="0" labelOnly="1" grandRow="1" outline="0" fieldPosition="0"/>
    </format>
    <format dxfId="518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517">
      <pivotArea type="all" dataOnly="0" outline="0" fieldPosition="0"/>
    </format>
    <format dxfId="516">
      <pivotArea outline="0" collapsedLevelsAreSubtotals="1" fieldPosition="0"/>
    </format>
    <format dxfId="515">
      <pivotArea field="1" type="button" dataOnly="0" labelOnly="1" outline="0" axis="axisRow" fieldPosition="0"/>
    </format>
    <format dxfId="514">
      <pivotArea dataOnly="0" labelOnly="1" fieldPosition="0">
        <references count="1">
          <reference field="1" count="0"/>
        </references>
      </pivotArea>
    </format>
    <format dxfId="513">
      <pivotArea dataOnly="0" labelOnly="1" grandRow="1" outline="0" fieldPosition="0"/>
    </format>
    <format dxfId="512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51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10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50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08">
      <pivotArea type="all" dataOnly="0" outline="0" fieldPosition="0"/>
    </format>
    <format dxfId="507">
      <pivotArea outline="0" collapsedLevelsAreSubtotals="1" fieldPosition="0"/>
    </format>
    <format dxfId="506">
      <pivotArea field="1" type="button" dataOnly="0" labelOnly="1" outline="0" axis="axisRow" fieldPosition="0"/>
    </format>
    <format dxfId="505">
      <pivotArea dataOnly="0" labelOnly="1" fieldPosition="0">
        <references count="1">
          <reference field="1" count="0"/>
        </references>
      </pivotArea>
    </format>
    <format dxfId="504">
      <pivotArea dataOnly="0" labelOnly="1" grandRow="1" outline="0" fieldPosition="0"/>
    </format>
    <format dxfId="50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02">
      <pivotArea collapsedLevelsAreSubtotals="1" fieldPosition="0">
        <references count="1">
          <reference field="1" count="0"/>
        </references>
      </pivotArea>
    </format>
    <format dxfId="501">
      <pivotArea field="1" type="button" dataOnly="0" labelOnly="1" outline="0" axis="axisRow" fieldPosition="0"/>
    </format>
    <format dxfId="500">
      <pivotArea dataOnly="0" labelOnly="1" fieldPosition="0">
        <references count="1">
          <reference field="1" count="0"/>
        </references>
      </pivotArea>
    </format>
    <format dxfId="49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2">
    <chartFormat chart="21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1" format="19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1" format="20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1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1" format="26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1" format="27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5C1B9-E15B-45C3-9A06-9DC1D690D782}" name="TablaDinámica3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 rowHeaderCaption="GESTIÓN DE SEGURIDAD INDUSTRIAL" fieldListSortAscending="1">
  <location ref="C193:G199" firstHeaderRow="0" firstDataRow="1" firstDataCol="1"/>
  <pivotFields count="62">
    <pivotField showAll="0"/>
    <pivotField axis="axisRow" showAll="0">
      <items count="60">
        <item h="1" x="3"/>
        <item x="6"/>
        <item h="1" x="50"/>
        <item h="1" x="5"/>
        <item h="1" x="12"/>
        <item h="1" m="1" x="58"/>
        <item h="1" x="19"/>
        <item h="1" m="1" x="53"/>
        <item h="1" m="1" x="57"/>
        <item h="1" x="16"/>
        <item h="1" m="1" x="56"/>
        <item x="9"/>
        <item x="8"/>
        <item x="10"/>
        <item h="1" x="4"/>
        <item h="1" x="46"/>
        <item h="1" x="45"/>
        <item h="1" x="47"/>
        <item h="1" x="14"/>
        <item h="1" x="15"/>
        <item h="1" sd="0" x="0"/>
        <item h="1" m="1" x="52"/>
        <item h="1" x="43"/>
        <item h="1" x="13"/>
        <item h="1" x="44"/>
        <item h="1" m="1" x="55"/>
        <item x="7"/>
        <item h="1" x="11"/>
        <item h="1" x="49"/>
        <item h="1" x="18"/>
        <item h="1" x="20"/>
        <item h="1" x="21"/>
        <item h="1" m="1" x="54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6">
    <i>
      <x v="1"/>
    </i>
    <i>
      <x v="11"/>
    </i>
    <i>
      <x v="12"/>
    </i>
    <i>
      <x v="13"/>
    </i>
    <i>
      <x v="2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- TBG NOV" fld="57" baseField="1" baseItem="11"/>
    <dataField name="- CNX NOV" fld="59" baseField="1" baseItem="11"/>
    <dataField name="- BV NOV" fld="58" baseField="1" baseItem="11"/>
    <dataField name="- CSH NOV" fld="60" baseField="1" baseItem="11"/>
  </dataFields>
  <formats count="43">
    <format dxfId="614">
      <pivotArea grandRow="1" outline="0" collapsedLevelsAreSubtotals="1" fieldPosition="0"/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field="1" type="button" dataOnly="0" labelOnly="1" outline="0" axis="axisRow" fieldPosition="0"/>
    </format>
    <format dxfId="610">
      <pivotArea dataOnly="0" labelOnly="1" grandRow="1" outline="0" fieldPosition="0"/>
    </format>
    <format dxfId="609">
      <pivotArea type="all" dataOnly="0" outline="0" fieldPosition="0"/>
    </format>
    <format dxfId="608">
      <pivotArea field="1" type="button" dataOnly="0" labelOnly="1" outline="0" axis="axisRow" fieldPosition="0"/>
    </format>
    <format dxfId="607">
      <pivotArea outline="0" collapsedLevelsAreSubtotals="1" fieldPosition="0"/>
    </format>
    <format dxfId="606">
      <pivotArea outline="0" collapsedLevelsAreSubtotals="1" fieldPosition="0"/>
    </format>
    <format dxfId="605">
      <pivotArea outline="0" collapsedLevelsAreSubtotals="1" fieldPosition="0"/>
    </format>
    <format dxfId="604">
      <pivotArea field="1" type="button" dataOnly="0" labelOnly="1" outline="0" axis="axisRow" fieldPosition="0"/>
    </format>
    <format dxfId="603">
      <pivotArea field="1" type="button" dataOnly="0" labelOnly="1" outline="0" axis="axisRow" fieldPosition="0"/>
    </format>
    <format dxfId="602">
      <pivotArea outline="0" collapsedLevelsAreSubtotals="1" fieldPosition="0"/>
    </format>
    <format dxfId="601">
      <pivotArea field="1" type="button" dataOnly="0" labelOnly="1" outline="0" axis="axisRow" fieldPosition="0"/>
    </format>
    <format dxfId="600">
      <pivotArea field="1" type="button" dataOnly="0" labelOnly="1" outline="0" axis="axisRow" fieldPosition="0"/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field="1" type="button" dataOnly="0" labelOnly="1" outline="0" axis="axisRow" fieldPosition="0"/>
    </format>
    <format dxfId="596">
      <pivotArea dataOnly="0" labelOnly="1" grandRow="1" outline="0" fieldPosition="0"/>
    </format>
    <format dxfId="595">
      <pivotArea field="1" type="button" dataOnly="0" labelOnly="1" outline="0" axis="axisRow" fieldPosition="0"/>
    </format>
    <format dxfId="594">
      <pivotArea collapsedLevelsAreSubtotals="1" fieldPosition="0">
        <references count="1">
          <reference field="1" count="0"/>
        </references>
      </pivotArea>
    </format>
    <format dxfId="593">
      <pivotArea dataOnly="0" labelOnly="1" fieldPosition="0">
        <references count="1">
          <reference field="1" count="0"/>
        </references>
      </pivotArea>
    </format>
    <format dxfId="592">
      <pivotArea collapsedLevelsAreSubtotals="1" fieldPosition="0">
        <references count="1">
          <reference field="1" count="0"/>
        </references>
      </pivotArea>
    </format>
    <format dxfId="591">
      <pivotArea field="1" type="button" dataOnly="0" labelOnly="1" outline="0" axis="axisRow" fieldPosition="0"/>
    </format>
    <format dxfId="590">
      <pivotArea dataOnly="0" labelOnly="1" fieldPosition="0">
        <references count="1">
          <reference field="1" count="0"/>
        </references>
      </pivotArea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field="1" type="button" dataOnly="0" labelOnly="1" outline="0" axis="axisRow" fieldPosition="0"/>
    </format>
    <format dxfId="586">
      <pivotArea dataOnly="0" labelOnly="1" fieldPosition="0">
        <references count="1">
          <reference field="1" count="0"/>
        </references>
      </pivotArea>
    </format>
    <format dxfId="585">
      <pivotArea dataOnly="0" labelOnly="1" grandRow="1" outline="0" fieldPosition="0"/>
    </format>
    <format dxfId="584">
      <pivotArea type="all" dataOnly="0" outline="0" fieldPosition="0"/>
    </format>
    <format dxfId="583">
      <pivotArea outline="0" collapsedLevelsAreSubtotals="1" fieldPosition="0"/>
    </format>
    <format dxfId="582">
      <pivotArea field="1" type="button" dataOnly="0" labelOnly="1" outline="0" axis="axisRow" fieldPosition="0"/>
    </format>
    <format dxfId="581">
      <pivotArea dataOnly="0" labelOnly="1" fieldPosition="0">
        <references count="1">
          <reference field="1" count="0"/>
        </references>
      </pivotArea>
    </format>
    <format dxfId="580">
      <pivotArea dataOnly="0" labelOnly="1" grandRow="1" outline="0" fieldPosition="0"/>
    </format>
    <format dxfId="579">
      <pivotArea type="all" dataOnly="0" outline="0" fieldPosition="0"/>
    </format>
    <format dxfId="578">
      <pivotArea outline="0" collapsedLevelsAreSubtotals="1" fieldPosition="0"/>
    </format>
    <format dxfId="577">
      <pivotArea field="1" type="button" dataOnly="0" labelOnly="1" outline="0" axis="axisRow" fieldPosition="0"/>
    </format>
    <format dxfId="576">
      <pivotArea dataOnly="0" labelOnly="1" fieldPosition="0">
        <references count="1">
          <reference field="1" count="0"/>
        </references>
      </pivotArea>
    </format>
    <format dxfId="575">
      <pivotArea dataOnly="0" labelOnly="1" grandRow="1" outline="0" fieldPosition="0"/>
    </format>
    <format dxfId="574">
      <pivotArea collapsedLevelsAreSubtotals="1" fieldPosition="0">
        <references count="1">
          <reference field="1" count="0"/>
        </references>
      </pivotArea>
    </format>
    <format dxfId="573">
      <pivotArea field="1" type="button" dataOnly="0" labelOnly="1" outline="0" axis="axisRow" fieldPosition="0"/>
    </format>
    <format dxfId="572">
      <pivotArea dataOnly="0" labelOnly="1" fieldPosition="0">
        <references count="1">
          <reference field="1" count="0"/>
        </references>
      </pivotArea>
    </format>
  </formats>
  <chartFormats count="4">
    <chartFormat chart="26" format="8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8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8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6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F0FA3-5DBC-4F45-988A-0D23360B9AD4}" name="TablaDinámica38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1" rowHeaderCaption="GESTIÓN DE QA/QC TRIBOILGAS BASE COCA " fieldListSortAscending="1">
  <location ref="C357:I360" firstHeaderRow="0" firstDataRow="1" firstDataCol="1"/>
  <pivotFields count="62">
    <pivotField showAll="0"/>
    <pivotField axis="axisRow" showAll="0">
      <items count="60">
        <item h="1" x="3"/>
        <item h="1" x="6"/>
        <item sd="0" x="50"/>
        <item h="1" x="5"/>
        <item h="1" x="12"/>
        <item h="1" m="1" x="58"/>
        <item h="1" x="19"/>
        <item h="1" m="1" x="53"/>
        <item h="1" m="1" x="57"/>
        <item h="1" x="16"/>
        <item h="1" m="1" x="56"/>
        <item h="1" x="9"/>
        <item h="1" x="8"/>
        <item h="1" x="10"/>
        <item h="1" x="4"/>
        <item h="1" x="46"/>
        <item h="1" x="45"/>
        <item h="1" x="47"/>
        <item h="1" x="14"/>
        <item h="1" x="15"/>
        <item h="1" sd="0" x="0"/>
        <item h="1" m="1" x="52"/>
        <item h="1" x="43"/>
        <item h="1" x="13"/>
        <item h="1" x="44"/>
        <item h="1" m="1" x="55"/>
        <item h="1" x="7"/>
        <item h="1" x="11"/>
        <item sd="0" x="49"/>
        <item h="1" x="18"/>
        <item h="1" x="20"/>
        <item h="1" x="21"/>
        <item h="1" m="1" x="54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2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- TBG ENE" fld="7" baseField="1" baseItem="3"/>
    <dataField name="-TBG FEB" fld="12" baseField="1" baseItem="3"/>
    <dataField name="-TBG MAR" fld="17" baseField="1" baseItem="3"/>
    <dataField name="-TBG ABR" fld="22" baseField="1" baseItem="3"/>
    <dataField name="- TBG MAY" fld="27" baseField="1" baseItem="28"/>
    <dataField name="- TBG JUN" fld="32" baseField="1" baseItem="28"/>
  </dataFields>
  <formats count="48">
    <format dxfId="662">
      <pivotArea grandRow="1" outline="0" collapsedLevelsAreSubtotals="1" fieldPosition="0"/>
    </format>
    <format dxfId="661">
      <pivotArea type="all" dataOnly="0" outline="0" fieldPosition="0"/>
    </format>
    <format dxfId="660">
      <pivotArea outline="0" collapsedLevelsAreSubtotals="1" fieldPosition="0"/>
    </format>
    <format dxfId="659">
      <pivotArea field="1" type="button" dataOnly="0" labelOnly="1" outline="0" axis="axisRow" fieldPosition="0"/>
    </format>
    <format dxfId="658">
      <pivotArea dataOnly="0" labelOnly="1" grandRow="1" outline="0" fieldPosition="0"/>
    </format>
    <format dxfId="657">
      <pivotArea type="all" dataOnly="0" outline="0" fieldPosition="0"/>
    </format>
    <format dxfId="656">
      <pivotArea field="1" type="button" dataOnly="0" labelOnly="1" outline="0" axis="axisRow" fieldPosition="0"/>
    </format>
    <format dxfId="655">
      <pivotArea outline="0" collapsedLevelsAreSubtotals="1" fieldPosition="0"/>
    </format>
    <format dxfId="654">
      <pivotArea outline="0" collapsedLevelsAreSubtotals="1" fieldPosition="0"/>
    </format>
    <format dxfId="653">
      <pivotArea outline="0" collapsedLevelsAreSubtotals="1" fieldPosition="0"/>
    </format>
    <format dxfId="652">
      <pivotArea field="1" type="button" dataOnly="0" labelOnly="1" outline="0" axis="axisRow" fieldPosition="0"/>
    </format>
    <format dxfId="651">
      <pivotArea field="1" type="button" dataOnly="0" labelOnly="1" outline="0" axis="axisRow" fieldPosition="0"/>
    </format>
    <format dxfId="650">
      <pivotArea outline="0" collapsedLevelsAreSubtotals="1" fieldPosition="0"/>
    </format>
    <format dxfId="649">
      <pivotArea field="1" type="button" dataOnly="0" labelOnly="1" outline="0" axis="axisRow" fieldPosition="0"/>
    </format>
    <format dxfId="648">
      <pivotArea field="1" type="button" dataOnly="0" labelOnly="1" outline="0" axis="axisRow" fieldPosition="0"/>
    </format>
    <format dxfId="647">
      <pivotArea dataOnly="0" fieldPosition="0">
        <references count="1">
          <reference field="1" count="0"/>
        </references>
      </pivotArea>
    </format>
    <format dxfId="646">
      <pivotArea dataOnly="0" fieldPosition="0">
        <references count="1">
          <reference field="1" count="0"/>
        </references>
      </pivotArea>
    </format>
    <format dxfId="645">
      <pivotArea collapsedLevelsAreSubtotals="1" fieldPosition="0">
        <references count="1">
          <reference field="1" count="0"/>
        </references>
      </pivotArea>
    </format>
    <format dxfId="644">
      <pivotArea collapsedLevelsAreSubtotals="1" fieldPosition="0">
        <references count="1">
          <reference field="1" count="0"/>
        </references>
      </pivotArea>
    </format>
    <format dxfId="643">
      <pivotArea collapsedLevelsAreSubtotals="1" fieldPosition="0">
        <references count="1">
          <reference field="1" count="0"/>
        </references>
      </pivotArea>
    </format>
    <format dxfId="642">
      <pivotArea type="all" dataOnly="0" outline="0" fieldPosition="0"/>
    </format>
    <format dxfId="641">
      <pivotArea outline="0" collapsedLevelsAreSubtotals="1" fieldPosition="0"/>
    </format>
    <format dxfId="640">
      <pivotArea field="1" type="button" dataOnly="0" labelOnly="1" outline="0" axis="axisRow" fieldPosition="0"/>
    </format>
    <format dxfId="639">
      <pivotArea dataOnly="0" labelOnly="1" fieldPosition="0">
        <references count="1">
          <reference field="1" count="0"/>
        </references>
      </pivotArea>
    </format>
    <format dxfId="638">
      <pivotArea dataOnly="0" labelOnly="1" grandRow="1" outline="0" fieldPosition="0"/>
    </format>
    <format dxfId="637">
      <pivotArea field="1" type="button" dataOnly="0" labelOnly="1" outline="0" axis="axisRow" fieldPosition="0"/>
    </format>
    <format dxfId="636">
      <pivotArea collapsedLevelsAreSubtotals="1" fieldPosition="0">
        <references count="1">
          <reference field="1" count="0"/>
        </references>
      </pivotArea>
    </format>
    <format dxfId="635">
      <pivotArea type="all" dataOnly="0" outline="0" fieldPosition="0"/>
    </format>
    <format dxfId="634">
      <pivotArea dataOnly="0" labelOnly="1" outline="0" axis="axisValues" fieldPosition="0"/>
    </format>
    <format dxfId="6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31">
      <pivotArea type="all" dataOnly="0" outline="0" fieldPosition="0"/>
    </format>
    <format dxfId="630">
      <pivotArea outline="0" collapsedLevelsAreSubtotals="1" fieldPosition="0"/>
    </format>
    <format dxfId="629">
      <pivotArea field="1" type="button" dataOnly="0" labelOnly="1" outline="0" axis="axisRow" fieldPosition="0"/>
    </format>
    <format dxfId="628">
      <pivotArea dataOnly="0" labelOnly="1" fieldPosition="0">
        <references count="1">
          <reference field="1" count="0"/>
        </references>
      </pivotArea>
    </format>
    <format dxfId="627">
      <pivotArea dataOnly="0" labelOnly="1" grandRow="1" outline="0" fieldPosition="0"/>
    </format>
    <format dxfId="6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25">
      <pivotArea type="all" dataOnly="0" outline="0" fieldPosition="0"/>
    </format>
    <format dxfId="624">
      <pivotArea outline="0" collapsedLevelsAreSubtotals="1" fieldPosition="0"/>
    </format>
    <format dxfId="623">
      <pivotArea field="1" type="button" dataOnly="0" labelOnly="1" outline="0" axis="axisRow" fieldPosition="0"/>
    </format>
    <format dxfId="622">
      <pivotArea dataOnly="0" labelOnly="1" fieldPosition="0">
        <references count="1">
          <reference field="1" count="0"/>
        </references>
      </pivotArea>
    </format>
    <format dxfId="621">
      <pivotArea dataOnly="0" labelOnly="1" grandRow="1" outline="0" fieldPosition="0"/>
    </format>
    <format dxfId="6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19">
      <pivotArea collapsedLevelsAreSubtotals="1" fieldPosition="0">
        <references count="1">
          <reference field="1" count="0"/>
        </references>
      </pivotArea>
    </format>
    <format dxfId="618">
      <pivotArea field="1" type="button" dataOnly="0" labelOnly="1" outline="0" axis="axisRow" fieldPosition="0"/>
    </format>
    <format dxfId="617">
      <pivotArea dataOnly="0" labelOnly="1" fieldPosition="0">
        <references count="1">
          <reference field="1" count="0"/>
        </references>
      </pivotArea>
    </format>
    <format dxfId="6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15">
      <pivotArea collapsedLevelsAreSubtotals="1" fieldPosition="0">
        <references count="1">
          <reference field="1" count="0"/>
        </references>
      </pivotArea>
    </format>
  </formats>
  <chartFormats count="6">
    <chartFormat chart="4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0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0" format="31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BD601-D58E-4A00-A278-536DDFAF43CB}" name="TablaDinámica3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 rowHeaderCaption="GESTIÓN DE RELACIONES COMUNITARIAS PROYECTO BLANCA VINITA" fieldListSortAscending="1">
  <location ref="C309:N311" firstHeaderRow="0" firstDataRow="1" firstDataCol="1"/>
  <pivotFields count="62">
    <pivotField showAll="0"/>
    <pivotField axis="axisRow" showAll="0">
      <items count="60">
        <item h="1" x="3"/>
        <item h="1" x="6"/>
        <item h="1" x="50"/>
        <item h="1" x="5"/>
        <item h="1" x="12"/>
        <item h="1" m="1" x="58"/>
        <item h="1" x="19"/>
        <item h="1" m="1" x="53"/>
        <item h="1" m="1" x="57"/>
        <item h="1" x="16"/>
        <item h="1" m="1" x="56"/>
        <item h="1" x="9"/>
        <item h="1" x="8"/>
        <item h="1" x="10"/>
        <item h="1" x="4"/>
        <item h="1" x="46"/>
        <item h="1" x="45"/>
        <item h="1" x="47"/>
        <item h="1" x="14"/>
        <item h="1" x="15"/>
        <item h="1" sd="0" x="0"/>
        <item h="1" m="1" x="52"/>
        <item h="1" x="43"/>
        <item h="1" x="13"/>
        <item h="1" x="44"/>
        <item h="1" m="1" x="55"/>
        <item h="1" x="7"/>
        <item h="1" x="11"/>
        <item h="1" x="49"/>
        <item h="1" x="18"/>
        <item h="1" x="20"/>
        <item h="1" x="21"/>
        <item h="1" m="1" x="54"/>
        <item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33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- BV ENE" fld="8" baseField="1" baseItem="33"/>
    <dataField name="- BV FEB" fld="13" baseField="1" baseItem="33"/>
    <dataField name="- BV MAR" fld="18" baseField="1" baseItem="33"/>
    <dataField name="- BV ABR" fld="23" baseField="1" baseItem="33"/>
    <dataField name="- BV MAY" fld="28" baseField="1" baseItem="33"/>
    <dataField name="- BV JUN" fld="33" baseField="1" baseItem="33"/>
    <dataField name="- BV JUL" fld="38" baseField="1" baseItem="33"/>
    <dataField name="- BV AGO" fld="43" baseField="1" baseItem="33"/>
    <dataField name="- BV SEP" fld="48" baseField="1" baseItem="33"/>
    <dataField name="- BV OCT" fld="53" baseField="1" baseItem="33"/>
    <dataField name="- BV NOV" fld="58" baseField="1" baseItem="33"/>
  </dataFields>
  <formats count="50">
    <format dxfId="712">
      <pivotArea grandRow="1" outline="0" collapsedLevelsAreSubtotals="1" fieldPosition="0"/>
    </format>
    <format dxfId="711">
      <pivotArea type="all" dataOnly="0" outline="0" fieldPosition="0"/>
    </format>
    <format dxfId="710">
      <pivotArea outline="0" collapsedLevelsAreSubtotals="1" fieldPosition="0"/>
    </format>
    <format dxfId="709">
      <pivotArea field="1" type="button" dataOnly="0" labelOnly="1" outline="0" axis="axisRow" fieldPosition="0"/>
    </format>
    <format dxfId="708">
      <pivotArea dataOnly="0" labelOnly="1" grandRow="1" outline="0" fieldPosition="0"/>
    </format>
    <format dxfId="707">
      <pivotArea type="all" dataOnly="0" outline="0" fieldPosition="0"/>
    </format>
    <format dxfId="706">
      <pivotArea field="1" type="button" dataOnly="0" labelOnly="1" outline="0" axis="axisRow" fieldPosition="0"/>
    </format>
    <format dxfId="705">
      <pivotArea outline="0" collapsedLevelsAreSubtotals="1" fieldPosition="0"/>
    </format>
    <format dxfId="704">
      <pivotArea outline="0" collapsedLevelsAreSubtotals="1" fieldPosition="0"/>
    </format>
    <format dxfId="703">
      <pivotArea outline="0" collapsedLevelsAreSubtotals="1" fieldPosition="0"/>
    </format>
    <format dxfId="702">
      <pivotArea field="1" type="button" dataOnly="0" labelOnly="1" outline="0" axis="axisRow" fieldPosition="0"/>
    </format>
    <format dxfId="701">
      <pivotArea field="1" type="button" dataOnly="0" labelOnly="1" outline="0" axis="axisRow" fieldPosition="0"/>
    </format>
    <format dxfId="700">
      <pivotArea outline="0" collapsedLevelsAreSubtotals="1" fieldPosition="0"/>
    </format>
    <format dxfId="699">
      <pivotArea field="1" type="button" dataOnly="0" labelOnly="1" outline="0" axis="axisRow" fieldPosition="0"/>
    </format>
    <format dxfId="698">
      <pivotArea field="1" type="button" dataOnly="0" labelOnly="1" outline="0" axis="axisRow" fieldPosition="0"/>
    </format>
    <format dxfId="697">
      <pivotArea type="all" dataOnly="0" outline="0" fieldPosition="0"/>
    </format>
    <format dxfId="696">
      <pivotArea outline="0" collapsedLevelsAreSubtotals="1" fieldPosition="0"/>
    </format>
    <format dxfId="695">
      <pivotArea field="1" type="button" dataOnly="0" labelOnly="1" outline="0" axis="axisRow" fieldPosition="0"/>
    </format>
    <format dxfId="694">
      <pivotArea dataOnly="0" labelOnly="1" grandRow="1" outline="0" fieldPosition="0"/>
    </format>
    <format dxfId="693">
      <pivotArea field="1" type="button" dataOnly="0" labelOnly="1" outline="0" axis="axisRow" fieldPosition="0"/>
    </format>
    <format dxfId="692">
      <pivotArea dataOnly="0" fieldPosition="0">
        <references count="1">
          <reference field="1" count="0"/>
        </references>
      </pivotArea>
    </format>
    <format dxfId="691">
      <pivotArea field="1" type="button" dataOnly="0" labelOnly="1" outline="0" axis="axisRow" fieldPosition="0"/>
    </format>
    <format dxfId="690">
      <pivotArea dataOnly="0" labelOnly="1" fieldPosition="0">
        <references count="1">
          <reference field="1" count="0"/>
        </references>
      </pivotArea>
    </format>
    <format dxfId="689">
      <pivotArea type="all" dataOnly="0" outline="0" fieldPosition="0"/>
    </format>
    <format dxfId="688">
      <pivotArea field="1" type="button" dataOnly="0" labelOnly="1" outline="0" axis="axisRow" fieldPosition="0"/>
    </format>
    <format dxfId="687">
      <pivotArea field="1" type="button" dataOnly="0" labelOnly="1" outline="0" axis="axisRow" fieldPosition="0"/>
    </format>
    <format dxfId="686">
      <pivotArea field="1" type="button" dataOnly="0" labelOnly="1" outline="0" axis="axisRow" fieldPosition="0"/>
    </format>
    <format dxfId="685">
      <pivotArea collapsedLevelsAreSubtotals="1" fieldPosition="0">
        <references count="1">
          <reference field="1" count="0"/>
        </references>
      </pivotArea>
    </format>
    <format dxfId="684">
      <pivotArea type="all" dataOnly="0" outline="0" fieldPosition="0"/>
    </format>
    <format dxfId="683">
      <pivotArea outline="0" collapsedLevelsAreSubtotals="1" fieldPosition="0"/>
    </format>
    <format dxfId="682">
      <pivotArea field="1" type="button" dataOnly="0" labelOnly="1" outline="0" axis="axisRow" fieldPosition="0"/>
    </format>
    <format dxfId="681">
      <pivotArea dataOnly="0" labelOnly="1" fieldPosition="0">
        <references count="1">
          <reference field="1" count="0"/>
        </references>
      </pivotArea>
    </format>
    <format dxfId="680">
      <pivotArea dataOnly="0" labelOnly="1" grandRow="1" outline="0" fieldPosition="0"/>
    </format>
    <format dxfId="679">
      <pivotArea type="all" dataOnly="0" outline="0" fieldPosition="0"/>
    </format>
    <format dxfId="678">
      <pivotArea outline="0" collapsedLevelsAreSubtotals="1" fieldPosition="0"/>
    </format>
    <format dxfId="677">
      <pivotArea field="1" type="button" dataOnly="0" labelOnly="1" outline="0" axis="axisRow" fieldPosition="0"/>
    </format>
    <format dxfId="676">
      <pivotArea dataOnly="0" labelOnly="1" fieldPosition="0">
        <references count="1">
          <reference field="1" count="0"/>
        </references>
      </pivotArea>
    </format>
    <format dxfId="675">
      <pivotArea dataOnly="0" labelOnly="1" grandRow="1" outline="0" fieldPosition="0"/>
    </format>
    <format dxfId="674">
      <pivotArea type="all" dataOnly="0" outline="0" fieldPosition="0"/>
    </format>
    <format dxfId="673">
      <pivotArea outline="0" collapsedLevelsAreSubtotals="1" fieldPosition="0"/>
    </format>
    <format dxfId="672">
      <pivotArea field="1" type="button" dataOnly="0" labelOnly="1" outline="0" axis="axisRow" fieldPosition="0"/>
    </format>
    <format dxfId="671">
      <pivotArea dataOnly="0" labelOnly="1" fieldPosition="0">
        <references count="1">
          <reference field="1" count="0"/>
        </references>
      </pivotArea>
    </format>
    <format dxfId="670">
      <pivotArea dataOnly="0" labelOnly="1" grandRow="1" outline="0" fieldPosition="0"/>
    </format>
    <format dxfId="6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68">
      <pivotArea type="all" dataOnly="0" outline="0" fieldPosition="0"/>
    </format>
    <format dxfId="667">
      <pivotArea outline="0" collapsedLevelsAreSubtotals="1" fieldPosition="0"/>
    </format>
    <format dxfId="666">
      <pivotArea field="1" type="button" dataOnly="0" labelOnly="1" outline="0" axis="axisRow" fieldPosition="0"/>
    </format>
    <format dxfId="665">
      <pivotArea dataOnly="0" labelOnly="1" fieldPosition="0">
        <references count="1">
          <reference field="1" count="0"/>
        </references>
      </pivotArea>
    </format>
    <format dxfId="664">
      <pivotArea dataOnly="0" labelOnly="1" grandRow="1" outline="0" fieldPosition="0"/>
    </format>
    <format dxfId="66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1">
    <chartFormat chart="36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4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4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6" format="5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6" format="5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52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6" format="53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6" format="54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36" format="55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86C18-BDE7-47EA-86E8-0CA25F53BA21}" name="TablaDinámica8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INDICE FRECUENCIA (MCV) EN FUNCIÓN DE ACCIDENTES VEHICULARES - Comparativo Holding">
  <location ref="C152:G154" firstHeaderRow="0" firstDataRow="1" firstDataCol="1"/>
  <pivotFields count="68">
    <pivotField showAll="0"/>
    <pivotField showAll="0"/>
    <pivotField axis="axisRow" showAll="0">
      <items count="53">
        <item x="3"/>
        <item h="1" x="6"/>
        <item h="1" x="50"/>
        <item h="1" x="5"/>
        <item h="1" x="25"/>
        <item h="1" x="24"/>
        <item h="1" x="12"/>
        <item h="1" x="31"/>
        <item h="1" x="27"/>
        <item h="1" x="30"/>
        <item h="1" x="18"/>
        <item h="1" x="19"/>
        <item h="1" x="20"/>
        <item h="1" x="21"/>
        <item h="1" x="16"/>
        <item h="1" x="28"/>
        <item h="1" x="29"/>
        <item h="1" x="9"/>
        <item h="1" x="8"/>
        <item h="1" m="1" x="51"/>
        <item h="1" x="10"/>
        <item h="1" x="23"/>
        <item h="1" x="4"/>
        <item h="1" x="42"/>
        <item h="1" x="37"/>
        <item h="1" x="38"/>
        <item h="1" x="39"/>
        <item h="1" x="36"/>
        <item h="1" x="46"/>
        <item h="1" x="45"/>
        <item h="1" x="47"/>
        <item h="1" x="14"/>
        <item h="1" x="15"/>
        <item h="1" x="0"/>
        <item h="1" x="43"/>
        <item h="1" x="41"/>
        <item h="1" x="13"/>
        <item h="1" x="1"/>
        <item h="1" x="40"/>
        <item h="1" x="48"/>
        <item h="1" x="44"/>
        <item h="1" x="34"/>
        <item h="1" x="7"/>
        <item h="1" x="22"/>
        <item h="1" x="11"/>
        <item h="1" x="49"/>
        <item h="1" x="32"/>
        <item h="1" x="26"/>
        <item h="1" x="35"/>
        <item h="1" x="2"/>
        <item h="1" x="17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- TBG NOV" fld="58" baseField="2" baseItem="0"/>
    <dataField name="- CNX NOV" fld="60" baseField="2" baseItem="0"/>
    <dataField name="- BV NOV" fld="59" baseField="2" baseItem="0"/>
    <dataField name="- CSH NOV" fld="61" baseField="2" baseItem="0"/>
  </dataFields>
  <formats count="27">
    <format dxfId="739">
      <pivotArea collapsedLevelsAreSubtotals="1" fieldPosition="0">
        <references count="1">
          <reference field="2" count="0"/>
        </references>
      </pivotArea>
    </format>
    <format dxfId="738">
      <pivotArea field="2" type="button" dataOnly="0" labelOnly="1" outline="0" axis="axisRow" fieldPosition="0"/>
    </format>
    <format dxfId="737">
      <pivotArea dataOnly="0" labelOnly="1" fieldPosition="0">
        <references count="1">
          <reference field="2" count="0"/>
        </references>
      </pivotArea>
    </format>
    <format dxfId="736">
      <pivotArea collapsedLevelsAreSubtotals="1" fieldPosition="0">
        <references count="1">
          <reference field="2" count="0"/>
        </references>
      </pivotArea>
    </format>
    <format dxfId="735">
      <pivotArea field="2" type="button" dataOnly="0" labelOnly="1" outline="0" axis="axisRow" fieldPosition="0"/>
    </format>
    <format dxfId="734">
      <pivotArea dataOnly="0" labelOnly="1" fieldPosition="0">
        <references count="1">
          <reference field="2" count="0"/>
        </references>
      </pivotArea>
    </format>
    <format dxfId="733">
      <pivotArea collapsedLevelsAreSubtotals="1" fieldPosition="0">
        <references count="1">
          <reference field="2" count="0"/>
        </references>
      </pivotArea>
    </format>
    <format dxfId="732">
      <pivotArea field="2" type="button" dataOnly="0" labelOnly="1" outline="0" axis="axisRow" fieldPosition="0"/>
    </format>
    <format dxfId="731">
      <pivotArea dataOnly="0" labelOnly="1" fieldPosition="0">
        <references count="1">
          <reference field="2" count="0"/>
        </references>
      </pivotArea>
    </format>
    <format dxfId="730">
      <pivotArea field="2" type="button" dataOnly="0" labelOnly="1" outline="0" axis="axisRow" fieldPosition="0"/>
    </format>
    <format dxfId="729">
      <pivotArea field="2" type="button" dataOnly="0" labelOnly="1" outline="0" axis="axisRow" fieldPosition="0"/>
    </format>
    <format dxfId="728">
      <pivotArea field="2" type="button" dataOnly="0" labelOnly="1" outline="0" axis="axisRow" fieldPosition="0"/>
    </format>
    <format dxfId="727">
      <pivotArea collapsedLevelsAreSubtotals="1" fieldPosition="0">
        <references count="1">
          <reference field="2" count="0"/>
        </references>
      </pivotArea>
    </format>
    <format dxfId="726">
      <pivotArea dataOnly="0" labelOnly="1" fieldPosition="0">
        <references count="1">
          <reference field="2" count="0"/>
        </references>
      </pivotArea>
    </format>
    <format dxfId="725">
      <pivotArea collapsedLevelsAreSubtotals="1" fieldPosition="0">
        <references count="1">
          <reference field="2" count="0"/>
        </references>
      </pivotArea>
    </format>
    <format dxfId="724">
      <pivotArea field="2" type="button" dataOnly="0" labelOnly="1" outline="0" axis="axisRow" fieldPosition="0"/>
    </format>
    <format dxfId="723">
      <pivotArea type="all" dataOnly="0" outline="0" fieldPosition="0"/>
    </format>
    <format dxfId="722">
      <pivotArea outline="0" collapsedLevelsAreSubtotals="1" fieldPosition="0"/>
    </format>
    <format dxfId="721">
      <pivotArea field="2" type="button" dataOnly="0" labelOnly="1" outline="0" axis="axisRow" fieldPosition="0"/>
    </format>
    <format dxfId="720">
      <pivotArea dataOnly="0" labelOnly="1" fieldPosition="0">
        <references count="1">
          <reference field="2" count="0"/>
        </references>
      </pivotArea>
    </format>
    <format dxfId="719">
      <pivotArea dataOnly="0" labelOnly="1" grandRow="1" outline="0" fieldPosition="0"/>
    </format>
    <format dxfId="718">
      <pivotArea collapsedLevelsAreSubtotals="1" fieldPosition="0">
        <references count="1">
          <reference field="2" count="0"/>
        </references>
      </pivotArea>
    </format>
    <format dxfId="717">
      <pivotArea field="2" type="button" dataOnly="0" labelOnly="1" outline="0" axis="axisRow" fieldPosition="0"/>
    </format>
    <format dxfId="716">
      <pivotArea dataOnly="0" labelOnly="1" fieldPosition="0">
        <references count="1">
          <reference field="2" count="0"/>
        </references>
      </pivotArea>
    </format>
    <format dxfId="715">
      <pivotArea field="2" type="button" dataOnly="0" labelOnly="1" outline="0" axis="axisRow" fieldPosition="0"/>
    </format>
    <format dxfId="714">
      <pivotArea field="2" type="button" dataOnly="0" labelOnly="1" outline="0" axis="axisRow" fieldPosition="0"/>
    </format>
    <format dxfId="7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4" format="9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9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1E244-68D6-46D1-8713-B049AD66AC08}" name="TablaDinámica27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 rowHeaderCaption="1.4 ) Indice de frecuencia CONSHORAMA" fieldListSortAscending="1">
  <location ref="C119:O121" firstHeaderRow="0" firstDataRow="1" firstDataCol="1"/>
  <pivotFields count="68">
    <pivotField showAll="0"/>
    <pivotField showAll="0"/>
    <pivotField axis="axisRow" showAll="0">
      <items count="53">
        <item h="1" x="3"/>
        <item h="1" x="6"/>
        <item h="1" x="50"/>
        <item h="1" x="5"/>
        <item h="1" x="12"/>
        <item h="1" x="19"/>
        <item h="1" x="16"/>
        <item h="1" x="9"/>
        <item h="1" x="8"/>
        <item h="1" x="10"/>
        <item h="1" x="4"/>
        <item h="1" x="46"/>
        <item h="1" x="45"/>
        <item h="1" x="47"/>
        <item h="1" x="14"/>
        <item h="1" x="15"/>
        <item sd="0" x="0"/>
        <item h="1" x="43"/>
        <item h="1" x="13"/>
        <item h="1" x="44"/>
        <item h="1" x="7"/>
        <item h="1" x="11"/>
        <item h="1" x="49"/>
        <item h="1" x="18"/>
        <item h="1" x="20"/>
        <item h="1" x="21"/>
        <item h="1" x="37"/>
        <item h="1" x="38"/>
        <item h="1" x="39"/>
        <item h="1" x="40"/>
        <item h="1" x="41"/>
        <item h="1" x="42"/>
        <item h="1" x="48"/>
        <item h="1" x="1"/>
        <item h="1" x="2"/>
        <item h="1" x="17"/>
        <item h="1" x="36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m="1" x="51"/>
        <item h="1" x="34"/>
        <item h="1" x="35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">
    <i>
      <x v="1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- CSH ENE" fld="11" baseField="2" baseItem="16"/>
    <dataField name="- CSH FEB" fld="16" baseField="2" baseItem="16"/>
    <dataField name="-CSH MAR" fld="21" baseField="1" baseItem="25"/>
    <dataField name="- CSH ABR" fld="26" baseField="2" baseItem="16"/>
    <dataField name="- CSH MAY" fld="31" baseField="2" baseItem="16"/>
    <dataField name="-CSH JUN" fld="36" baseField="1" baseItem="25"/>
    <dataField name="- CSH JUL" fld="41" baseField="1" baseItem="20"/>
    <dataField name="- CSH AGO" fld="46" baseField="2" baseItem="16"/>
    <dataField name="- CSH SEP" fld="51" baseField="1" baseItem="20"/>
    <dataField name="- CSH OCT" fld="56" baseField="1" baseItem="20"/>
    <dataField name="- CSH NOV" fld="61" baseField="2" baseItem="16"/>
    <dataField name="- CSH DIC" fld="66" baseField="2" baseItem="16"/>
  </dataFields>
  <formats count="74">
    <format dxfId="813">
      <pivotArea collapsedLevelsAreSubtotals="1" fieldPosition="0">
        <references count="1">
          <reference field="2" count="0"/>
        </references>
      </pivotArea>
    </format>
    <format dxfId="812">
      <pivotArea collapsedLevelsAreSubtotals="1" fieldPosition="0">
        <references count="1">
          <reference field="2" count="0"/>
        </references>
      </pivotArea>
    </format>
    <format dxfId="811">
      <pivotArea grandRow="1" outline="0" collapsedLevelsAreSubtotals="1" fieldPosition="0"/>
    </format>
    <format dxfId="810">
      <pivotArea type="all" dataOnly="0" outline="0" fieldPosition="0"/>
    </format>
    <format dxfId="809">
      <pivotArea outline="0" collapsedLevelsAreSubtotals="1" fieldPosition="0"/>
    </format>
    <format dxfId="808">
      <pivotArea field="2" type="button" dataOnly="0" labelOnly="1" outline="0" axis="axisRow" fieldPosition="0"/>
    </format>
    <format dxfId="807">
      <pivotArea dataOnly="0" labelOnly="1" fieldPosition="0">
        <references count="1">
          <reference field="2" count="0"/>
        </references>
      </pivotArea>
    </format>
    <format dxfId="806">
      <pivotArea dataOnly="0" labelOnly="1" grandRow="1" outline="0" fieldPosition="0"/>
    </format>
    <format dxfId="805">
      <pivotArea type="all" dataOnly="0" outline="0" fieldPosition="0"/>
    </format>
    <format dxfId="804">
      <pivotArea field="2" type="button" dataOnly="0" labelOnly="1" outline="0" axis="axisRow" fieldPosition="0"/>
    </format>
    <format dxfId="803">
      <pivotArea dataOnly="0" labelOnly="1" fieldPosition="0">
        <references count="1">
          <reference field="2" count="0"/>
        </references>
      </pivotArea>
    </format>
    <format dxfId="802">
      <pivotArea outline="0" collapsedLevelsAreSubtotals="1" fieldPosition="0"/>
    </format>
    <format dxfId="801">
      <pivotArea collapsedLevelsAreSubtotals="1" fieldPosition="0">
        <references count="1">
          <reference field="2" count="1">
            <x v="10"/>
          </reference>
        </references>
      </pivotArea>
    </format>
    <format dxfId="800">
      <pivotArea collapsedLevelsAreSubtotals="1" fieldPosition="0">
        <references count="1">
          <reference field="2" count="7">
            <x v="3"/>
            <x v="4"/>
            <x v="5"/>
            <x v="6"/>
            <x v="7"/>
            <x v="8"/>
            <x v="9"/>
          </reference>
        </references>
      </pivotArea>
    </format>
    <format dxfId="799">
      <pivotArea collapsedLevelsAreSubtotals="1" fieldPosition="0">
        <references count="1">
          <reference field="2" count="1">
            <x v="1"/>
          </reference>
        </references>
      </pivotArea>
    </format>
    <format dxfId="798">
      <pivotArea collapsedLevelsAreSubtotals="1" fieldPosition="0">
        <references count="1">
          <reference field="2" count="1">
            <x v="2"/>
          </reference>
        </references>
      </pivotArea>
    </format>
    <format dxfId="797">
      <pivotArea outline="0" collapsedLevelsAreSubtotals="1" fieldPosition="0"/>
    </format>
    <format dxfId="796">
      <pivotArea outline="0" collapsedLevelsAreSubtotals="1" fieldPosition="0"/>
    </format>
    <format dxfId="795">
      <pivotArea field="2" type="button" dataOnly="0" labelOnly="1" outline="0" axis="axisRow" fieldPosition="0"/>
    </format>
    <format dxfId="794">
      <pivotArea field="2" type="button" dataOnly="0" labelOnly="1" outline="0" axis="axisRow" fieldPosition="0"/>
    </format>
    <format dxfId="793">
      <pivotArea field="2" type="button" dataOnly="0" labelOnly="1" outline="0" axis="axisRow" fieldPosition="0"/>
    </format>
    <format dxfId="792">
      <pivotArea field="2" type="button" dataOnly="0" labelOnly="1" outline="0" axis="axisRow" fieldPosition="0"/>
    </format>
    <format dxfId="79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90">
      <pivotArea field="2" type="button" dataOnly="0" labelOnly="1" outline="0" axis="axisRow" fieldPosition="0"/>
    </format>
    <format dxfId="78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88">
      <pivotArea collapsedLevelsAreSubtotals="1" fieldPosition="0">
        <references count="1">
          <reference field="2" count="0"/>
        </references>
      </pivotArea>
    </format>
    <format dxfId="787">
      <pivotArea dataOnly="0" labelOnly="1" fieldPosition="0">
        <references count="1">
          <reference field="2" count="0"/>
        </references>
      </pivotArea>
    </format>
    <format dxfId="786">
      <pivotArea type="all" dataOnly="0" outline="0" fieldPosition="0"/>
    </format>
    <format dxfId="785">
      <pivotArea outline="0" collapsedLevelsAreSubtotals="1" fieldPosition="0"/>
    </format>
    <format dxfId="784">
      <pivotArea dataOnly="0" labelOnly="1" grandRow="1" outline="0" fieldPosition="0"/>
    </format>
    <format dxfId="783">
      <pivotArea collapsedLevelsAreSubtotals="1" fieldPosition="0">
        <references count="1">
          <reference field="2" count="0"/>
        </references>
      </pivotArea>
    </format>
    <format dxfId="782">
      <pivotArea field="2" type="button" dataOnly="0" labelOnly="1" outline="0" axis="axisRow" fieldPosition="0"/>
    </format>
    <format dxfId="781">
      <pivotArea dataOnly="0" labelOnly="1" fieldPosition="0">
        <references count="1">
          <reference field="2" count="0"/>
        </references>
      </pivotArea>
    </format>
    <format dxfId="78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79">
      <pivotArea collapsedLevelsAreSubtotals="1" fieldPosition="0">
        <references count="1">
          <reference field="2" count="0"/>
        </references>
      </pivotArea>
    </format>
    <format dxfId="77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7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76">
      <pivotArea field="2" type="button" dataOnly="0" labelOnly="1" outline="0" axis="axisRow" fieldPosition="0"/>
    </format>
    <format dxfId="77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74">
      <pivotArea collapsedLevelsAreSubtotals="1" fieldPosition="0">
        <references count="1">
          <reference field="2" count="0"/>
        </references>
      </pivotArea>
    </format>
    <format dxfId="773">
      <pivotArea dataOnly="0" labelOnly="1" fieldPosition="0">
        <references count="1">
          <reference field="2" count="0"/>
        </references>
      </pivotArea>
    </format>
    <format dxfId="772">
      <pivotArea type="all" dataOnly="0" outline="0" fieldPosition="0"/>
    </format>
    <format dxfId="77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70">
      <pivotArea dataOnly="0" labelOnly="1" outline="0" fieldPosition="0">
        <references count="1">
          <reference field="4294967294" count="2">
            <x v="2"/>
            <x v="5"/>
          </reference>
        </references>
      </pivotArea>
    </format>
    <format dxfId="769">
      <pivotArea dataOnly="0" labelOnly="1" outline="0" fieldPosition="0">
        <references count="1">
          <reference field="4294967294" count="2">
            <x v="2"/>
            <x v="5"/>
          </reference>
        </references>
      </pivotArea>
    </format>
    <format dxfId="768">
      <pivotArea type="all" dataOnly="0" outline="0" fieldPosition="0"/>
    </format>
    <format dxfId="767">
      <pivotArea dataOnly="0" outline="0" fieldPosition="0">
        <references count="1">
          <reference field="4294967294" count="2">
            <x v="2"/>
            <x v="5"/>
          </reference>
        </references>
      </pivotArea>
    </format>
    <format dxfId="766">
      <pivotArea collapsedLevelsAreSubtotals="1" fieldPosition="0">
        <references count="1">
          <reference field="2" count="0"/>
        </references>
      </pivotArea>
    </format>
    <format dxfId="765">
      <pivotArea dataOnly="0" labelOnly="1" outline="0" fieldPosition="0">
        <references count="1">
          <reference field="4294967294" count="2">
            <x v="2"/>
            <x v="5"/>
          </reference>
        </references>
      </pivotArea>
    </format>
    <format dxfId="764">
      <pivotArea dataOnly="0" labelOnly="1" outline="0" fieldPosition="0">
        <references count="1">
          <reference field="4294967294" count="3">
            <x v="2"/>
            <x v="5"/>
            <x v="6"/>
          </reference>
        </references>
      </pivotArea>
    </format>
    <format dxfId="763">
      <pivotArea dataOnly="0" labelOnly="1" outline="0" fieldPosition="0">
        <references count="1">
          <reference field="4294967294" count="3">
            <x v="2"/>
            <x v="5"/>
            <x v="6"/>
          </reference>
        </references>
      </pivotArea>
    </format>
    <format dxfId="762">
      <pivotArea type="all" dataOnly="0" outline="0" fieldPosition="0"/>
    </format>
    <format dxfId="761">
      <pivotArea outline="0" collapsedLevelsAreSubtotals="1" fieldPosition="0"/>
    </format>
    <format dxfId="760">
      <pivotArea field="2" type="button" dataOnly="0" labelOnly="1" outline="0" axis="axisRow" fieldPosition="0"/>
    </format>
    <format dxfId="759">
      <pivotArea dataOnly="0" labelOnly="1" fieldPosition="0">
        <references count="1">
          <reference field="2" count="0"/>
        </references>
      </pivotArea>
    </format>
    <format dxfId="758">
      <pivotArea dataOnly="0" labelOnly="1" grandRow="1" outline="0" fieldPosition="0"/>
    </format>
    <format dxfId="757">
      <pivotArea dataOnly="0" labelOnly="1" outline="0" fieldPosition="0">
        <references count="1">
          <reference field="4294967294" count="3">
            <x v="2"/>
            <x v="5"/>
            <x v="6"/>
          </reference>
        </references>
      </pivotArea>
    </format>
    <format dxfId="756">
      <pivotArea type="all" dataOnly="0" outline="0" fieldPosition="0"/>
    </format>
    <format dxfId="755">
      <pivotArea outline="0" collapsedLevelsAreSubtotals="1" fieldPosition="0"/>
    </format>
    <format dxfId="754">
      <pivotArea field="2" type="button" dataOnly="0" labelOnly="1" outline="0" axis="axisRow" fieldPosition="0"/>
    </format>
    <format dxfId="753">
      <pivotArea dataOnly="0" labelOnly="1" fieldPosition="0">
        <references count="1">
          <reference field="2" count="0"/>
        </references>
      </pivotArea>
    </format>
    <format dxfId="752">
      <pivotArea dataOnly="0" labelOnly="1" grandRow="1" outline="0" fieldPosition="0"/>
    </format>
    <format dxfId="751">
      <pivotArea dataOnly="0" labelOnly="1" outline="0" fieldPosition="0">
        <references count="1">
          <reference field="4294967294" count="3">
            <x v="2"/>
            <x v="5"/>
            <x v="6"/>
          </reference>
        </references>
      </pivotArea>
    </format>
    <format dxfId="75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49">
      <pivotArea type="all" dataOnly="0" outline="0" fieldPosition="0"/>
    </format>
    <format dxfId="748">
      <pivotArea outline="0" collapsedLevelsAreSubtotals="1" fieldPosition="0"/>
    </format>
    <format dxfId="747">
      <pivotArea field="2" type="button" dataOnly="0" labelOnly="1" outline="0" axis="axisRow" fieldPosition="0"/>
    </format>
    <format dxfId="746">
      <pivotArea dataOnly="0" labelOnly="1" fieldPosition="0">
        <references count="1">
          <reference field="2" count="0"/>
        </references>
      </pivotArea>
    </format>
    <format dxfId="745">
      <pivotArea dataOnly="0" labelOnly="1" grandRow="1" outline="0" fieldPosition="0"/>
    </format>
    <format dxfId="74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43">
      <pivotArea collapsedLevelsAreSubtotals="1" fieldPosition="0">
        <references count="1">
          <reference field="2" count="0"/>
        </references>
      </pivotArea>
    </format>
    <format dxfId="742">
      <pivotArea field="2" type="button" dataOnly="0" labelOnly="1" outline="0" axis="axisRow" fieldPosition="0"/>
    </format>
    <format dxfId="741">
      <pivotArea dataOnly="0" labelOnly="1" fieldPosition="0">
        <references count="1">
          <reference field="2" count="0"/>
        </references>
      </pivotArea>
    </format>
    <format dxfId="74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2">
    <chartFormat chart="23" format="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11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3" format="1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3" format="1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3" format="2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3" format="27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3" format="28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0BD37-0EBD-4B92-A498-74CC5B4D9AC1}" name="TablaDiná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INDICE DE SINIESTRALIDAD">
  <location ref="C140:G143" firstHeaderRow="0" firstDataRow="1" firstDataCol="1"/>
  <pivotFields count="68">
    <pivotField showAll="0"/>
    <pivotField showAll="0"/>
    <pivotField axis="axisRow" showAll="0">
      <items count="53">
        <item h="1" x="3"/>
        <item h="1" x="6"/>
        <item h="1" x="50"/>
        <item h="1" x="5"/>
        <item h="1" x="25"/>
        <item h="1" x="24"/>
        <item h="1" x="12"/>
        <item h="1" x="31"/>
        <item h="1" x="27"/>
        <item h="1" x="30"/>
        <item h="1" x="18"/>
        <item h="1" x="19"/>
        <item h="1" x="20"/>
        <item h="1" x="21"/>
        <item h="1" x="16"/>
        <item h="1" x="28"/>
        <item h="1" x="29"/>
        <item h="1" x="9"/>
        <item h="1" x="8"/>
        <item h="1" m="1" x="51"/>
        <item h="1" x="10"/>
        <item h="1" x="23"/>
        <item h="1" x="4"/>
        <item h="1" x="42"/>
        <item h="1" x="37"/>
        <item h="1" x="38"/>
        <item h="1" x="39"/>
        <item h="1" x="36"/>
        <item h="1" x="46"/>
        <item h="1" x="45"/>
        <item h="1" x="47"/>
        <item h="1" x="14"/>
        <item h="1" x="15"/>
        <item h="1" x="0"/>
        <item h="1" x="43"/>
        <item h="1" x="41"/>
        <item h="1" x="13"/>
        <item x="1"/>
        <item h="1" x="40"/>
        <item h="1" x="48"/>
        <item h="1" x="44"/>
        <item h="1" x="34"/>
        <item h="1" x="7"/>
        <item h="1" x="22"/>
        <item h="1" x="11"/>
        <item h="1" x="49"/>
        <item h="1" x="32"/>
        <item h="1" x="26"/>
        <item h="1" x="35"/>
        <item x="2"/>
        <item h="1" x="17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 v="37"/>
    </i>
    <i>
      <x v="4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- TBG NOV" fld="58" baseField="0" baseItem="0"/>
    <dataField name="- CNX NOV" fld="60" baseField="0" baseItem="0"/>
    <dataField name="- BV NOV" fld="59" baseField="0" baseItem="0"/>
    <dataField name="- CSH NOV" fld="61" baseField="0" baseItem="0"/>
  </dataFields>
  <formats count="12">
    <format dxfId="825">
      <pivotArea field="2" type="button" dataOnly="0" labelOnly="1" outline="0" axis="axisRow" fieldPosition="0"/>
    </format>
    <format dxfId="824">
      <pivotArea dataOnly="0" labelOnly="1" fieldPosition="0">
        <references count="1">
          <reference field="2" count="0"/>
        </references>
      </pivotArea>
    </format>
    <format dxfId="823">
      <pivotArea collapsedLevelsAreSubtotals="1" fieldPosition="0">
        <references count="1">
          <reference field="2" count="0"/>
        </references>
      </pivotArea>
    </format>
    <format dxfId="822">
      <pivotArea collapsedLevelsAreSubtotals="1" fieldPosition="0">
        <references count="1">
          <reference field="2" count="0"/>
        </references>
      </pivotArea>
    </format>
    <format dxfId="821">
      <pivotArea type="all" dataOnly="0" outline="0" fieldPosition="0"/>
    </format>
    <format dxfId="820">
      <pivotArea outline="0" collapsedLevelsAreSubtotals="1" fieldPosition="0"/>
    </format>
    <format dxfId="819">
      <pivotArea field="2" type="button" dataOnly="0" labelOnly="1" outline="0" axis="axisRow" fieldPosition="0"/>
    </format>
    <format dxfId="818">
      <pivotArea dataOnly="0" labelOnly="1" fieldPosition="0">
        <references count="1">
          <reference field="2" count="0"/>
        </references>
      </pivotArea>
    </format>
    <format dxfId="817">
      <pivotArea dataOnly="0" labelOnly="1" grandRow="1" outline="0" fieldPosition="0"/>
    </format>
    <format dxfId="816">
      <pivotArea collapsedLevelsAreSubtotals="1" fieldPosition="0">
        <references count="1">
          <reference field="2" count="0"/>
        </references>
      </pivotArea>
    </format>
    <format dxfId="815">
      <pivotArea field="2" type="button" dataOnly="0" labelOnly="1" outline="0" axis="axisRow" fieldPosition="0"/>
    </format>
    <format dxfId="814">
      <pivotArea dataOnly="0" labelOnly="1" fieldPosition="0">
        <references count="1">
          <reference field="2" count="0"/>
        </references>
      </pivotArea>
    </format>
  </formats>
  <chartFormats count="4">
    <chartFormat chart="0" format="9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8" dT="2022-05-31T19:53:21.57" personId="{C4D79F5D-B744-4C66-B7FD-F2C0D1AC6025}" id="{22B4E08C-1F3E-4246-888F-5714A35971F3}">
    <text>Vencidas considerara también los sin registro y caducadas</text>
  </threadedComment>
  <threadedComment ref="F59" dT="2022-05-31T19:53:21.57" personId="{C4D79F5D-B744-4C66-B7FD-F2C0D1AC6025}" id="{1965547D-1E6B-4E54-9936-BC54B1E6DE69}">
    <text>Vencidas considerara también los sin registro y caducadas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8" dT="2022-05-31T19:53:21.57" personId="{C4D79F5D-B744-4C66-B7FD-F2C0D1AC6025}" id="{9478D6E2-7058-48A0-9D6F-304CF993C447}">
    <text>Vencidas considerara también los sin registro y caducadas</text>
  </threadedComment>
  <threadedComment ref="E59" dT="2022-05-31T19:53:21.57" personId="{C4D79F5D-B744-4C66-B7FD-F2C0D1AC6025}" id="{30273DBC-25F5-4C88-AD71-7E7F4A337399}">
    <text>Vencidas considerara también los sin registro y caducadas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70BF-7ED1-4288-9DA5-943E7F1A96B2}">
  <sheetPr>
    <tabColor rgb="FFFF0000"/>
    <pageSetUpPr fitToPage="1"/>
  </sheetPr>
  <dimension ref="B1:BS60"/>
  <sheetViews>
    <sheetView showGridLines="0" tabSelected="1" zoomScale="70" zoomScaleNormal="70" zoomScaleSheetLayoutView="40" workbookViewId="0">
      <pane xSplit="5" ySplit="6" topLeftCell="F7" activePane="bottomRight" state="frozen"/>
      <selection pane="topRight" activeCell="F1" sqref="F1"/>
      <selection pane="bottomLeft" activeCell="A7" sqref="A7"/>
      <selection pane="bottomRight" sqref="A1:BR61"/>
    </sheetView>
  </sheetViews>
  <sheetFormatPr baseColWidth="10" defaultColWidth="11.42578125" defaultRowHeight="16.5" x14ac:dyDescent="0.2"/>
  <cols>
    <col min="1" max="1" width="2.28515625" style="1" customWidth="1"/>
    <col min="2" max="2" width="5.7109375" style="3" customWidth="1"/>
    <col min="3" max="3" width="16.5703125" style="1" customWidth="1"/>
    <col min="4" max="4" width="33.140625" style="3" customWidth="1"/>
    <col min="5" max="5" width="14.28515625" style="4" customWidth="1"/>
    <col min="6" max="6" width="46.5703125" style="3" customWidth="1"/>
    <col min="7" max="7" width="16.28515625" style="6" hidden="1" customWidth="1"/>
    <col min="8" max="8" width="20.5703125" style="6" customWidth="1"/>
    <col min="9" max="9" width="26.85546875" style="3" customWidth="1"/>
    <col min="10" max="10" width="10.5703125" style="3" hidden="1" customWidth="1"/>
    <col min="11" max="11" width="4.85546875" style="3" hidden="1" customWidth="1"/>
    <col min="12" max="12" width="12" style="3" bestFit="1" customWidth="1"/>
    <col min="13" max="16" width="8.5703125" style="3" hidden="1" customWidth="1"/>
    <col min="17" max="17" width="12" style="3" bestFit="1" customWidth="1"/>
    <col min="18" max="18" width="8.5703125" style="3" hidden="1" customWidth="1"/>
    <col min="19" max="19" width="8.7109375" style="3" hidden="1" customWidth="1"/>
    <col min="20" max="20" width="11.42578125" style="3" hidden="1" customWidth="1"/>
    <col min="21" max="21" width="8.28515625" style="3" hidden="1" customWidth="1"/>
    <col min="22" max="22" width="12" style="3" bestFit="1" customWidth="1"/>
    <col min="23" max="24" width="8.5703125" style="3" hidden="1" customWidth="1"/>
    <col min="25" max="26" width="8.5703125" style="7" hidden="1" customWidth="1"/>
    <col min="27" max="27" width="12" style="7" bestFit="1" customWidth="1"/>
    <col min="28" max="30" width="8.5703125" style="7" hidden="1" customWidth="1"/>
    <col min="31" max="31" width="0.42578125" style="7" hidden="1" customWidth="1"/>
    <col min="32" max="32" width="11.5703125" style="7" bestFit="1" customWidth="1"/>
    <col min="33" max="36" width="8.5703125" style="7" hidden="1" customWidth="1"/>
    <col min="37" max="37" width="10.42578125" style="7" bestFit="1" customWidth="1"/>
    <col min="38" max="41" width="8.5703125" style="7" hidden="1" customWidth="1"/>
    <col min="42" max="42" width="10.42578125" style="7" bestFit="1" customWidth="1"/>
    <col min="43" max="46" width="8.5703125" style="7" hidden="1" customWidth="1"/>
    <col min="47" max="47" width="10.42578125" style="7" customWidth="1"/>
    <col min="48" max="51" width="8.5703125" style="7" hidden="1" customWidth="1"/>
    <col min="52" max="52" width="10.42578125" style="7" bestFit="1" customWidth="1"/>
    <col min="53" max="56" width="8.5703125" style="7" hidden="1" customWidth="1"/>
    <col min="57" max="57" width="9.5703125" style="7" customWidth="1"/>
    <col min="58" max="58" width="8.140625" style="7" hidden="1" customWidth="1"/>
    <col min="59" max="59" width="4.85546875" style="7" hidden="1" customWidth="1"/>
    <col min="60" max="60" width="9.5703125" style="7" hidden="1" customWidth="1"/>
    <col min="61" max="61" width="9.85546875" style="7" hidden="1" customWidth="1"/>
    <col min="62" max="62" width="9.42578125" style="7" customWidth="1"/>
    <col min="63" max="63" width="9.85546875" style="7" hidden="1" customWidth="1"/>
    <col min="64" max="64" width="9.140625" style="7" hidden="1" customWidth="1"/>
    <col min="65" max="65" width="8.5703125" style="1" hidden="1" customWidth="1"/>
    <col min="66" max="66" width="4.85546875" style="1" hidden="1" customWidth="1"/>
    <col min="67" max="67" width="11.42578125" style="1" customWidth="1"/>
    <col min="68" max="68" width="9.5703125" style="1" hidden="1" customWidth="1"/>
    <col min="69" max="69" width="8.28515625" style="1" hidden="1" customWidth="1"/>
    <col min="70" max="70" width="2" style="1" customWidth="1"/>
    <col min="71" max="16384" width="11.42578125" style="1"/>
  </cols>
  <sheetData>
    <row r="1" spans="2:71" ht="17.25" thickBot="1" x14ac:dyDescent="0.25"/>
    <row r="2" spans="2:71" ht="42" customHeight="1" x14ac:dyDescent="0.2">
      <c r="B2" s="506"/>
      <c r="C2" s="507"/>
      <c r="D2" s="507"/>
      <c r="E2" s="510" t="s">
        <v>383</v>
      </c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11"/>
      <c r="X2" s="511"/>
      <c r="Y2" s="511"/>
      <c r="Z2" s="511"/>
      <c r="AA2" s="511"/>
      <c r="AB2" s="511"/>
      <c r="AC2" s="511"/>
      <c r="AD2" s="511"/>
      <c r="AE2" s="511"/>
      <c r="AF2" s="511"/>
      <c r="AG2" s="511"/>
      <c r="AH2" s="511"/>
      <c r="AI2" s="511"/>
      <c r="AJ2" s="511"/>
      <c r="AK2" s="512"/>
      <c r="AL2" s="448"/>
      <c r="AM2" s="448"/>
      <c r="AN2" s="448"/>
      <c r="AO2" s="448"/>
      <c r="AP2" s="511" t="s">
        <v>370</v>
      </c>
      <c r="AQ2" s="511"/>
      <c r="AR2" s="511"/>
      <c r="AS2" s="511"/>
      <c r="AT2" s="511"/>
      <c r="AU2" s="511"/>
      <c r="AV2" s="511"/>
      <c r="AW2" s="511"/>
      <c r="AX2" s="511"/>
      <c r="AY2" s="511"/>
      <c r="AZ2" s="511"/>
      <c r="BA2" s="511"/>
      <c r="BB2" s="511"/>
      <c r="BC2" s="511"/>
      <c r="BD2" s="511"/>
      <c r="BE2" s="511"/>
      <c r="BF2" s="511"/>
      <c r="BG2" s="511"/>
      <c r="BH2" s="511"/>
      <c r="BI2" s="511"/>
      <c r="BJ2" s="511"/>
      <c r="BK2" s="511"/>
      <c r="BL2" s="511"/>
      <c r="BM2" s="511"/>
      <c r="BN2" s="511"/>
      <c r="BO2" s="512"/>
      <c r="BP2" s="450"/>
      <c r="BQ2" s="457"/>
    </row>
    <row r="3" spans="2:71" ht="42" customHeight="1" thickBot="1" x14ac:dyDescent="0.25">
      <c r="B3" s="508"/>
      <c r="C3" s="509"/>
      <c r="D3" s="509"/>
      <c r="E3" s="513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4"/>
      <c r="AJ3" s="514"/>
      <c r="AK3" s="515"/>
      <c r="AL3" s="449"/>
      <c r="AM3" s="449"/>
      <c r="AN3" s="449"/>
      <c r="AO3" s="449"/>
      <c r="AP3" s="514"/>
      <c r="AQ3" s="514"/>
      <c r="AR3" s="514"/>
      <c r="AS3" s="514"/>
      <c r="AT3" s="514"/>
      <c r="AU3" s="514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BG3" s="514"/>
      <c r="BH3" s="514"/>
      <c r="BI3" s="514"/>
      <c r="BJ3" s="514"/>
      <c r="BK3" s="514"/>
      <c r="BL3" s="514"/>
      <c r="BM3" s="514"/>
      <c r="BN3" s="514"/>
      <c r="BO3" s="515"/>
      <c r="BP3" s="7"/>
      <c r="BQ3" s="458"/>
    </row>
    <row r="4" spans="2:71" ht="15.75" customHeight="1" thickBot="1" x14ac:dyDescent="0.25">
      <c r="B4" s="516" t="s">
        <v>371</v>
      </c>
      <c r="C4" s="517"/>
      <c r="D4" s="518"/>
      <c r="E4" s="516" t="s">
        <v>377</v>
      </c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8"/>
      <c r="R4" s="33"/>
      <c r="S4" s="33"/>
      <c r="T4" s="33"/>
      <c r="U4" s="33"/>
      <c r="V4" s="517" t="s">
        <v>378</v>
      </c>
      <c r="W4" s="517"/>
      <c r="X4" s="517"/>
      <c r="Y4" s="517"/>
      <c r="Z4" s="517"/>
      <c r="AA4" s="517"/>
      <c r="AB4" s="517"/>
      <c r="AC4" s="517"/>
      <c r="AD4" s="517"/>
      <c r="AE4" s="517"/>
      <c r="AF4" s="517"/>
      <c r="AG4" s="517"/>
      <c r="AH4" s="517"/>
      <c r="AI4" s="517"/>
      <c r="AJ4" s="517"/>
      <c r="AK4" s="517"/>
      <c r="AL4" s="451"/>
      <c r="AM4" s="451"/>
      <c r="AN4" s="451"/>
      <c r="AO4" s="451"/>
      <c r="AP4" s="519" t="s">
        <v>372</v>
      </c>
      <c r="AQ4" s="520"/>
      <c r="AR4" s="520"/>
      <c r="AS4" s="520"/>
      <c r="AT4" s="520"/>
      <c r="AU4" s="520"/>
      <c r="AV4" s="520"/>
      <c r="AW4" s="520"/>
      <c r="AX4" s="520"/>
      <c r="AY4" s="520"/>
      <c r="AZ4" s="520"/>
      <c r="BA4" s="520"/>
      <c r="BB4" s="520"/>
      <c r="BC4" s="520"/>
      <c r="BD4" s="520"/>
      <c r="BE4" s="520"/>
      <c r="BF4" s="520"/>
      <c r="BG4" s="520"/>
      <c r="BH4" s="520"/>
      <c r="BI4" s="520"/>
      <c r="BJ4" s="520"/>
      <c r="BK4" s="520"/>
      <c r="BL4" s="520"/>
      <c r="BM4" s="520"/>
      <c r="BN4" s="520"/>
      <c r="BO4" s="521"/>
      <c r="BQ4" s="459"/>
    </row>
    <row r="5" spans="2:71" s="78" customFormat="1" ht="47.25" customHeight="1" thickBot="1" x14ac:dyDescent="0.35">
      <c r="B5" s="522" t="s">
        <v>374</v>
      </c>
      <c r="C5" s="523"/>
      <c r="D5" s="523"/>
      <c r="E5" s="523"/>
      <c r="F5" s="523"/>
      <c r="G5" s="523"/>
      <c r="H5" s="523"/>
      <c r="I5" s="524"/>
      <c r="J5" s="474">
        <v>45658</v>
      </c>
      <c r="K5" s="475"/>
      <c r="L5" s="525" t="s">
        <v>373</v>
      </c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5"/>
      <c r="AB5" s="525"/>
      <c r="AC5" s="525"/>
      <c r="AD5" s="525"/>
      <c r="AE5" s="525"/>
      <c r="AF5" s="525"/>
      <c r="AG5" s="525"/>
      <c r="AH5" s="525"/>
      <c r="AI5" s="525"/>
      <c r="AJ5" s="525"/>
      <c r="AK5" s="525"/>
      <c r="AL5" s="475"/>
      <c r="AM5" s="476"/>
      <c r="AN5" s="474">
        <v>45839</v>
      </c>
      <c r="AO5" s="475"/>
      <c r="AP5" s="525" t="s">
        <v>393</v>
      </c>
      <c r="AQ5" s="525"/>
      <c r="AR5" s="525"/>
      <c r="AS5" s="525"/>
      <c r="AT5" s="525"/>
      <c r="AU5" s="525"/>
      <c r="AV5" s="525"/>
      <c r="AW5" s="525"/>
      <c r="AX5" s="525"/>
      <c r="AY5" s="525"/>
      <c r="AZ5" s="525"/>
      <c r="BA5" s="525"/>
      <c r="BB5" s="525"/>
      <c r="BC5" s="525"/>
      <c r="BD5" s="525"/>
      <c r="BE5" s="525"/>
      <c r="BF5" s="525"/>
      <c r="BG5" s="525"/>
      <c r="BH5" s="525"/>
      <c r="BI5" s="525"/>
      <c r="BJ5" s="525"/>
      <c r="BK5" s="525"/>
      <c r="BL5" s="525"/>
      <c r="BM5" s="525"/>
      <c r="BN5" s="525"/>
      <c r="BO5" s="526"/>
      <c r="BP5" s="475"/>
      <c r="BQ5" s="476"/>
    </row>
    <row r="6" spans="2:71" s="5" customFormat="1" ht="44.25" customHeight="1" thickBot="1" x14ac:dyDescent="0.25">
      <c r="B6" s="503" t="s">
        <v>0</v>
      </c>
      <c r="C6" s="504" t="s">
        <v>1</v>
      </c>
      <c r="D6" s="503" t="s">
        <v>2</v>
      </c>
      <c r="E6" s="504" t="s">
        <v>3</v>
      </c>
      <c r="F6" s="503" t="s">
        <v>4</v>
      </c>
      <c r="G6" s="504" t="s">
        <v>5</v>
      </c>
      <c r="H6" s="503" t="s">
        <v>385</v>
      </c>
      <c r="I6" s="503" t="s">
        <v>7</v>
      </c>
      <c r="J6" s="460" t="s">
        <v>8</v>
      </c>
      <c r="K6" s="461" t="s">
        <v>9</v>
      </c>
      <c r="L6" s="462" t="s">
        <v>10</v>
      </c>
      <c r="M6" s="463" t="s">
        <v>11</v>
      </c>
      <c r="N6" s="464" t="s">
        <v>12</v>
      </c>
      <c r="O6" s="460" t="s">
        <v>13</v>
      </c>
      <c r="P6" s="461" t="s">
        <v>14</v>
      </c>
      <c r="Q6" s="462" t="s">
        <v>15</v>
      </c>
      <c r="R6" s="463" t="s">
        <v>16</v>
      </c>
      <c r="S6" s="465" t="s">
        <v>17</v>
      </c>
      <c r="T6" s="460" t="s">
        <v>18</v>
      </c>
      <c r="U6" s="461" t="s">
        <v>19</v>
      </c>
      <c r="V6" s="462" t="s">
        <v>20</v>
      </c>
      <c r="W6" s="463" t="s">
        <v>21</v>
      </c>
      <c r="X6" s="465" t="s">
        <v>22</v>
      </c>
      <c r="Y6" s="466" t="s">
        <v>23</v>
      </c>
      <c r="Z6" s="461" t="s">
        <v>24</v>
      </c>
      <c r="AA6" s="462" t="s">
        <v>25</v>
      </c>
      <c r="AB6" s="463" t="s">
        <v>26</v>
      </c>
      <c r="AC6" s="464" t="s">
        <v>27</v>
      </c>
      <c r="AD6" s="466" t="s">
        <v>28</v>
      </c>
      <c r="AE6" s="461" t="s">
        <v>29</v>
      </c>
      <c r="AF6" s="462" t="s">
        <v>30</v>
      </c>
      <c r="AG6" s="463" t="s">
        <v>31</v>
      </c>
      <c r="AH6" s="464" t="s">
        <v>32</v>
      </c>
      <c r="AI6" s="460" t="s">
        <v>33</v>
      </c>
      <c r="AJ6" s="461" t="s">
        <v>34</v>
      </c>
      <c r="AK6" s="462" t="s">
        <v>35</v>
      </c>
      <c r="AL6" s="463" t="s">
        <v>36</v>
      </c>
      <c r="AM6" s="464" t="s">
        <v>37</v>
      </c>
      <c r="AN6" s="460" t="s">
        <v>38</v>
      </c>
      <c r="AO6" s="461" t="s">
        <v>39</v>
      </c>
      <c r="AP6" s="462" t="s">
        <v>40</v>
      </c>
      <c r="AQ6" s="463" t="s">
        <v>41</v>
      </c>
      <c r="AR6" s="465" t="s">
        <v>42</v>
      </c>
      <c r="AS6" s="460" t="s">
        <v>43</v>
      </c>
      <c r="AT6" s="461" t="s">
        <v>44</v>
      </c>
      <c r="AU6" s="462" t="s">
        <v>45</v>
      </c>
      <c r="AV6" s="463" t="s">
        <v>46</v>
      </c>
      <c r="AW6" s="465" t="s">
        <v>47</v>
      </c>
      <c r="AX6" s="460" t="s">
        <v>48</v>
      </c>
      <c r="AY6" s="461" t="s">
        <v>49</v>
      </c>
      <c r="AZ6" s="462" t="s">
        <v>50</v>
      </c>
      <c r="BA6" s="463" t="s">
        <v>51</v>
      </c>
      <c r="BB6" s="465" t="s">
        <v>52</v>
      </c>
      <c r="BC6" s="467" t="s">
        <v>53</v>
      </c>
      <c r="BD6" s="468" t="s">
        <v>54</v>
      </c>
      <c r="BE6" s="469" t="s">
        <v>55</v>
      </c>
      <c r="BF6" s="470" t="s">
        <v>56</v>
      </c>
      <c r="BG6" s="471" t="s">
        <v>57</v>
      </c>
      <c r="BH6" s="467" t="s">
        <v>58</v>
      </c>
      <c r="BI6" s="468" t="s">
        <v>59</v>
      </c>
      <c r="BJ6" s="469" t="s">
        <v>60</v>
      </c>
      <c r="BK6" s="470" t="s">
        <v>61</v>
      </c>
      <c r="BL6" s="471" t="s">
        <v>62</v>
      </c>
      <c r="BM6" s="467" t="s">
        <v>63</v>
      </c>
      <c r="BN6" s="468" t="s">
        <v>64</v>
      </c>
      <c r="BO6" s="469" t="s">
        <v>65</v>
      </c>
      <c r="BP6" s="472" t="s">
        <v>66</v>
      </c>
      <c r="BQ6" s="473" t="s">
        <v>67</v>
      </c>
    </row>
    <row r="7" spans="2:71" s="2" customFormat="1" ht="45" customHeight="1" x14ac:dyDescent="0.2">
      <c r="B7" s="452">
        <v>1</v>
      </c>
      <c r="C7" s="527" t="s">
        <v>68</v>
      </c>
      <c r="D7" s="562" t="s">
        <v>69</v>
      </c>
      <c r="E7" s="307" t="s">
        <v>70</v>
      </c>
      <c r="F7" s="289" t="s">
        <v>71</v>
      </c>
      <c r="G7" s="453" t="s">
        <v>72</v>
      </c>
      <c r="H7" s="309" t="s">
        <v>73</v>
      </c>
      <c r="I7" s="310" t="s">
        <v>74</v>
      </c>
      <c r="J7" s="454"/>
      <c r="K7" s="455"/>
      <c r="L7" s="454">
        <v>0</v>
      </c>
      <c r="M7" s="456"/>
      <c r="N7" s="455"/>
      <c r="O7" s="105"/>
      <c r="P7" s="104"/>
      <c r="Q7" s="104">
        <v>0</v>
      </c>
      <c r="R7" s="456"/>
      <c r="S7" s="106"/>
      <c r="T7" s="105"/>
      <c r="U7" s="104"/>
      <c r="V7" s="104">
        <v>0</v>
      </c>
      <c r="W7" s="456"/>
      <c r="X7" s="106"/>
      <c r="Y7" s="347"/>
      <c r="Z7" s="104"/>
      <c r="AA7" s="104">
        <v>0</v>
      </c>
      <c r="AB7" s="104"/>
      <c r="AC7" s="106"/>
      <c r="AD7" s="105"/>
      <c r="AE7" s="104"/>
      <c r="AF7" s="104">
        <v>0</v>
      </c>
      <c r="AG7" s="104"/>
      <c r="AH7" s="106"/>
      <c r="AI7" s="105"/>
      <c r="AJ7" s="104"/>
      <c r="AK7" s="104">
        <v>0.15</v>
      </c>
      <c r="AL7" s="104"/>
      <c r="AM7" s="346"/>
      <c r="AN7" s="105"/>
      <c r="AO7" s="104"/>
      <c r="AP7" s="104">
        <v>0.13</v>
      </c>
      <c r="AQ7" s="104"/>
      <c r="AR7" s="106"/>
      <c r="AS7" s="105"/>
      <c r="AT7" s="104"/>
      <c r="AU7" s="104">
        <v>0.11</v>
      </c>
      <c r="AV7" s="104"/>
      <c r="AW7" s="80"/>
      <c r="AX7" s="105"/>
      <c r="AY7" s="104"/>
      <c r="AZ7" s="104">
        <v>0.1</v>
      </c>
      <c r="BA7" s="104"/>
      <c r="BB7" s="80"/>
      <c r="BC7" s="105"/>
      <c r="BD7" s="104"/>
      <c r="BE7" s="478"/>
      <c r="BF7" s="104"/>
      <c r="BG7" s="80"/>
      <c r="BH7" s="105"/>
      <c r="BI7" s="104"/>
      <c r="BJ7" s="104"/>
      <c r="BK7" s="104"/>
      <c r="BL7" s="80"/>
      <c r="BM7" s="105"/>
      <c r="BN7" s="104"/>
      <c r="BO7" s="106"/>
      <c r="BP7" s="375"/>
      <c r="BQ7" s="80"/>
    </row>
    <row r="8" spans="2:71" s="2" customFormat="1" ht="45" customHeight="1" x14ac:dyDescent="0.2">
      <c r="B8" s="392">
        <v>2</v>
      </c>
      <c r="C8" s="527"/>
      <c r="D8" s="562" t="s">
        <v>75</v>
      </c>
      <c r="E8" s="307" t="s">
        <v>76</v>
      </c>
      <c r="F8" s="289" t="s">
        <v>77</v>
      </c>
      <c r="G8" s="308"/>
      <c r="H8" s="309" t="s">
        <v>78</v>
      </c>
      <c r="I8" s="310" t="s">
        <v>79</v>
      </c>
      <c r="J8" s="105"/>
      <c r="K8" s="346"/>
      <c r="L8" s="105">
        <v>0</v>
      </c>
      <c r="M8" s="104"/>
      <c r="N8" s="346"/>
      <c r="O8" s="105"/>
      <c r="P8" s="104"/>
      <c r="Q8" s="104">
        <v>0</v>
      </c>
      <c r="R8" s="104"/>
      <c r="S8" s="106"/>
      <c r="T8" s="105"/>
      <c r="U8" s="104"/>
      <c r="V8" s="104">
        <v>0</v>
      </c>
      <c r="W8" s="104"/>
      <c r="X8" s="106"/>
      <c r="Y8" s="347"/>
      <c r="Z8" s="104"/>
      <c r="AA8" s="104">
        <v>0</v>
      </c>
      <c r="AB8" s="104"/>
      <c r="AC8" s="106"/>
      <c r="AD8" s="105"/>
      <c r="AE8" s="104"/>
      <c r="AF8" s="104">
        <v>0</v>
      </c>
      <c r="AG8" s="104"/>
      <c r="AH8" s="106"/>
      <c r="AI8" s="105"/>
      <c r="AJ8" s="104"/>
      <c r="AK8" s="104">
        <v>0</v>
      </c>
      <c r="AL8" s="104"/>
      <c r="AM8" s="346"/>
      <c r="AN8" s="105"/>
      <c r="AO8" s="104"/>
      <c r="AP8" s="104">
        <v>1.9</v>
      </c>
      <c r="AQ8" s="104"/>
      <c r="AR8" s="106"/>
      <c r="AS8" s="105"/>
      <c r="AT8" s="104"/>
      <c r="AU8" s="104">
        <v>1.63</v>
      </c>
      <c r="AV8" s="104"/>
      <c r="AW8" s="104"/>
      <c r="AX8" s="104"/>
      <c r="AY8" s="104"/>
      <c r="AZ8" s="104">
        <v>1.45</v>
      </c>
      <c r="BA8" s="104"/>
      <c r="BB8" s="80"/>
      <c r="BC8" s="105"/>
      <c r="BD8" s="104"/>
      <c r="BE8" s="104"/>
      <c r="BF8" s="104"/>
      <c r="BG8" s="80"/>
      <c r="BH8" s="105"/>
      <c r="BI8" s="104"/>
      <c r="BJ8" s="104"/>
      <c r="BK8" s="104"/>
      <c r="BL8" s="80"/>
      <c r="BM8" s="105"/>
      <c r="BN8" s="104"/>
      <c r="BO8" s="106"/>
      <c r="BP8" s="375"/>
      <c r="BQ8" s="80"/>
      <c r="BS8"/>
    </row>
    <row r="9" spans="2:71" s="2" customFormat="1" ht="45" customHeight="1" x14ac:dyDescent="0.2">
      <c r="B9" s="392">
        <v>3</v>
      </c>
      <c r="C9" s="527"/>
      <c r="D9" s="562" t="s">
        <v>80</v>
      </c>
      <c r="E9" s="307" t="s">
        <v>81</v>
      </c>
      <c r="F9" s="289" t="s">
        <v>82</v>
      </c>
      <c r="G9" s="308"/>
      <c r="H9" s="309" t="s">
        <v>83</v>
      </c>
      <c r="I9" s="310" t="s">
        <v>79</v>
      </c>
      <c r="J9" s="105"/>
      <c r="K9" s="346"/>
      <c r="L9" s="105">
        <v>0</v>
      </c>
      <c r="M9" s="104"/>
      <c r="N9" s="346"/>
      <c r="O9" s="105"/>
      <c r="P9" s="104"/>
      <c r="Q9" s="104">
        <v>0</v>
      </c>
      <c r="R9" s="104"/>
      <c r="S9" s="106"/>
      <c r="T9" s="105"/>
      <c r="U9" s="104"/>
      <c r="V9" s="104">
        <v>0</v>
      </c>
      <c r="W9" s="104"/>
      <c r="X9" s="106"/>
      <c r="Y9" s="347"/>
      <c r="Z9" s="104"/>
      <c r="AA9" s="104">
        <v>0</v>
      </c>
      <c r="AB9" s="104"/>
      <c r="AC9" s="106"/>
      <c r="AD9" s="105"/>
      <c r="AE9" s="104"/>
      <c r="AF9" s="104">
        <v>0</v>
      </c>
      <c r="AG9" s="104"/>
      <c r="AH9" s="106"/>
      <c r="AI9" s="105"/>
      <c r="AJ9" s="104"/>
      <c r="AK9" s="104">
        <v>0</v>
      </c>
      <c r="AL9" s="104"/>
      <c r="AM9" s="346"/>
      <c r="AN9" s="105"/>
      <c r="AO9" s="104"/>
      <c r="AP9" s="104">
        <v>15</v>
      </c>
      <c r="AQ9" s="104"/>
      <c r="AR9" s="104"/>
      <c r="AS9" s="104"/>
      <c r="AT9" s="104"/>
      <c r="AU9" s="104">
        <v>15</v>
      </c>
      <c r="AV9" s="104"/>
      <c r="AW9" s="104"/>
      <c r="AX9" s="104"/>
      <c r="AY9" s="104"/>
      <c r="AZ9" s="104">
        <v>15</v>
      </c>
      <c r="BA9" s="104"/>
      <c r="BB9" s="104"/>
      <c r="BC9" s="104"/>
      <c r="BD9" s="104"/>
      <c r="BE9" s="104"/>
      <c r="BF9" s="104"/>
      <c r="BG9" s="80"/>
      <c r="BH9" s="105"/>
      <c r="BI9" s="104"/>
      <c r="BJ9" s="104"/>
      <c r="BK9" s="104"/>
      <c r="BL9" s="80"/>
      <c r="BM9" s="105"/>
      <c r="BN9" s="104"/>
      <c r="BO9" s="106"/>
      <c r="BP9" s="375"/>
      <c r="BQ9" s="80"/>
    </row>
    <row r="10" spans="2:71" s="2" customFormat="1" ht="45" customHeight="1" x14ac:dyDescent="0.2">
      <c r="B10" s="392">
        <v>4</v>
      </c>
      <c r="C10" s="528"/>
      <c r="D10" s="563" t="s">
        <v>84</v>
      </c>
      <c r="E10" s="311" t="s">
        <v>85</v>
      </c>
      <c r="F10" s="290" t="s">
        <v>86</v>
      </c>
      <c r="G10" s="308" t="s">
        <v>87</v>
      </c>
      <c r="H10" s="312" t="s">
        <v>88</v>
      </c>
      <c r="I10" s="313" t="s">
        <v>79</v>
      </c>
      <c r="J10" s="68"/>
      <c r="K10" s="69"/>
      <c r="L10" s="68">
        <v>0</v>
      </c>
      <c r="M10" s="67"/>
      <c r="N10" s="69"/>
      <c r="O10" s="68"/>
      <c r="P10" s="67"/>
      <c r="Q10" s="67">
        <v>0</v>
      </c>
      <c r="R10" s="67"/>
      <c r="S10" s="70"/>
      <c r="T10" s="68"/>
      <c r="U10" s="67"/>
      <c r="V10" s="67">
        <v>0</v>
      </c>
      <c r="W10" s="67"/>
      <c r="X10" s="70"/>
      <c r="Y10" s="348"/>
      <c r="Z10" s="67"/>
      <c r="AA10" s="67">
        <v>0.97</v>
      </c>
      <c r="AB10" s="67"/>
      <c r="AC10" s="70"/>
      <c r="AD10" s="68"/>
      <c r="AE10" s="67"/>
      <c r="AF10" s="67">
        <v>0.77</v>
      </c>
      <c r="AG10" s="67"/>
      <c r="AH10" s="70"/>
      <c r="AI10" s="68"/>
      <c r="AJ10" s="67"/>
      <c r="AK10" s="67">
        <v>0.63</v>
      </c>
      <c r="AL10" s="67"/>
      <c r="AM10" s="69"/>
      <c r="AN10" s="68"/>
      <c r="AO10" s="67"/>
      <c r="AP10" s="71">
        <v>1.08</v>
      </c>
      <c r="AQ10" s="67"/>
      <c r="AR10" s="70"/>
      <c r="AS10" s="68"/>
      <c r="AT10" s="67"/>
      <c r="AU10" s="71">
        <v>0.9</v>
      </c>
      <c r="AV10" s="67"/>
      <c r="AW10" s="80"/>
      <c r="AX10" s="68"/>
      <c r="AY10" s="67"/>
      <c r="AZ10" s="71">
        <v>0.77</v>
      </c>
      <c r="BA10" s="67"/>
      <c r="BB10" s="80"/>
      <c r="BC10" s="68"/>
      <c r="BD10" s="67"/>
      <c r="BE10" s="71"/>
      <c r="BF10" s="67"/>
      <c r="BG10" s="80"/>
      <c r="BH10" s="68"/>
      <c r="BI10" s="67"/>
      <c r="BJ10" s="71"/>
      <c r="BK10" s="67"/>
      <c r="BL10" s="80"/>
      <c r="BM10" s="68"/>
      <c r="BN10" s="110"/>
      <c r="BO10" s="380"/>
      <c r="BP10" s="376"/>
      <c r="BQ10" s="80"/>
    </row>
    <row r="11" spans="2:71" s="2" customFormat="1" ht="45" customHeight="1" x14ac:dyDescent="0.2">
      <c r="B11" s="392">
        <v>5</v>
      </c>
      <c r="C11" s="528"/>
      <c r="D11" s="563" t="s">
        <v>386</v>
      </c>
      <c r="E11" s="311" t="s">
        <v>90</v>
      </c>
      <c r="F11" s="290" t="s">
        <v>387</v>
      </c>
      <c r="G11" s="308" t="s">
        <v>92</v>
      </c>
      <c r="H11" s="308" t="s">
        <v>93</v>
      </c>
      <c r="I11" s="313" t="s">
        <v>79</v>
      </c>
      <c r="J11" s="9"/>
      <c r="K11" s="23"/>
      <c r="L11" s="9">
        <v>0.8</v>
      </c>
      <c r="M11" s="8"/>
      <c r="N11" s="23"/>
      <c r="O11" s="9"/>
      <c r="P11" s="8"/>
      <c r="Q11" s="8">
        <v>0.78</v>
      </c>
      <c r="R11" s="8"/>
      <c r="S11" s="10"/>
      <c r="T11" s="9"/>
      <c r="U11" s="8"/>
      <c r="V11" s="8">
        <v>0.81</v>
      </c>
      <c r="W11" s="8"/>
      <c r="X11" s="10"/>
      <c r="Y11" s="31"/>
      <c r="Z11" s="8"/>
      <c r="AA11" s="8">
        <v>0.86</v>
      </c>
      <c r="AB11" s="8"/>
      <c r="AC11" s="10"/>
      <c r="AD11" s="9"/>
      <c r="AE11" s="8"/>
      <c r="AF11" s="8">
        <v>0.86</v>
      </c>
      <c r="AG11" s="8"/>
      <c r="AH11" s="10"/>
      <c r="AI11" s="9"/>
      <c r="AJ11" s="8"/>
      <c r="AK11" s="8">
        <v>0.85</v>
      </c>
      <c r="AL11" s="8"/>
      <c r="AM11" s="23"/>
      <c r="AN11" s="9"/>
      <c r="AO11" s="8"/>
      <c r="AP11" s="23">
        <v>0.85</v>
      </c>
      <c r="AQ11" s="8"/>
      <c r="AR11" s="10"/>
      <c r="AS11" s="9"/>
      <c r="AT11" s="8"/>
      <c r="AU11" s="23">
        <v>0.85</v>
      </c>
      <c r="AV11" s="8"/>
      <c r="AW11" s="80"/>
      <c r="AX11" s="8"/>
      <c r="AY11" s="8"/>
      <c r="AZ11" s="23">
        <v>0.85</v>
      </c>
      <c r="BA11" s="8"/>
      <c r="BB11" s="80"/>
      <c r="BC11" s="9"/>
      <c r="BD11" s="8"/>
      <c r="BE11" s="23"/>
      <c r="BF11" s="8"/>
      <c r="BG11" s="80"/>
      <c r="BH11" s="9"/>
      <c r="BI11" s="8"/>
      <c r="BJ11" s="23"/>
      <c r="BK11" s="8"/>
      <c r="BL11" s="80"/>
      <c r="BM11" s="9"/>
      <c r="BN11" s="112"/>
      <c r="BO11" s="119"/>
      <c r="BP11" s="377"/>
      <c r="BQ11" s="80"/>
    </row>
    <row r="12" spans="2:71" s="2" customFormat="1" ht="45" customHeight="1" x14ac:dyDescent="0.2">
      <c r="B12" s="392">
        <v>6</v>
      </c>
      <c r="C12" s="528"/>
      <c r="D12" s="563" t="s">
        <v>94</v>
      </c>
      <c r="E12" s="314" t="s">
        <v>95</v>
      </c>
      <c r="F12" s="290" t="s">
        <v>96</v>
      </c>
      <c r="G12" s="308"/>
      <c r="H12" s="308" t="s">
        <v>92</v>
      </c>
      <c r="I12" s="313" t="s">
        <v>79</v>
      </c>
      <c r="J12" s="9"/>
      <c r="K12" s="23"/>
      <c r="L12" s="83">
        <v>0.9</v>
      </c>
      <c r="M12" s="84"/>
      <c r="N12" s="86"/>
      <c r="O12" s="83"/>
      <c r="P12" s="84"/>
      <c r="Q12" s="84">
        <v>0.83</v>
      </c>
      <c r="R12" s="8"/>
      <c r="S12" s="10"/>
      <c r="T12" s="9"/>
      <c r="U12" s="8"/>
      <c r="V12" s="84">
        <v>0.82</v>
      </c>
      <c r="W12" s="8"/>
      <c r="X12" s="10"/>
      <c r="Y12" s="31"/>
      <c r="Z12" s="8"/>
      <c r="AA12" s="8">
        <v>0.81</v>
      </c>
      <c r="AB12" s="8"/>
      <c r="AC12" s="10"/>
      <c r="AD12" s="9"/>
      <c r="AE12" s="8"/>
      <c r="AF12" s="8">
        <v>0.81</v>
      </c>
      <c r="AG12" s="8"/>
      <c r="AH12" s="10"/>
      <c r="AI12" s="9"/>
      <c r="AJ12" s="8"/>
      <c r="AK12" s="8">
        <v>0.85</v>
      </c>
      <c r="AL12" s="8"/>
      <c r="AM12" s="23"/>
      <c r="AN12" s="9"/>
      <c r="AO12" s="8"/>
      <c r="AP12" s="23">
        <v>0.9</v>
      </c>
      <c r="AQ12" s="8"/>
      <c r="AR12" s="10"/>
      <c r="AS12" s="9"/>
      <c r="AT12" s="8"/>
      <c r="AU12" s="23">
        <v>0.8</v>
      </c>
      <c r="AV12" s="8"/>
      <c r="AW12" s="80"/>
      <c r="AX12" s="31"/>
      <c r="AY12" s="8"/>
      <c r="AZ12" s="23">
        <v>0.8</v>
      </c>
      <c r="BA12" s="8"/>
      <c r="BB12" s="80"/>
      <c r="BC12" s="9"/>
      <c r="BD12" s="8"/>
      <c r="BE12" s="23"/>
      <c r="BF12" s="8"/>
      <c r="BG12" s="80"/>
      <c r="BH12" s="9"/>
      <c r="BI12" s="8"/>
      <c r="BJ12" s="23"/>
      <c r="BK12" s="8"/>
      <c r="BL12" s="80"/>
      <c r="BM12" s="9"/>
      <c r="BN12" s="112"/>
      <c r="BO12" s="119"/>
      <c r="BP12" s="377"/>
      <c r="BQ12" s="80"/>
    </row>
    <row r="13" spans="2:71" s="2" customFormat="1" ht="45" customHeight="1" x14ac:dyDescent="0.2">
      <c r="B13" s="392">
        <v>7</v>
      </c>
      <c r="C13" s="528"/>
      <c r="D13" s="563" t="s">
        <v>97</v>
      </c>
      <c r="E13" s="314" t="s">
        <v>98</v>
      </c>
      <c r="F13" s="290" t="s">
        <v>99</v>
      </c>
      <c r="G13" s="308" t="s">
        <v>92</v>
      </c>
      <c r="H13" s="308" t="s">
        <v>92</v>
      </c>
      <c r="I13" s="313" t="s">
        <v>79</v>
      </c>
      <c r="J13" s="83"/>
      <c r="K13" s="86"/>
      <c r="L13" s="83">
        <v>1</v>
      </c>
      <c r="M13" s="84"/>
      <c r="N13" s="86"/>
      <c r="O13" s="83"/>
      <c r="P13" s="84"/>
      <c r="Q13" s="84">
        <v>1</v>
      </c>
      <c r="R13" s="84"/>
      <c r="S13" s="85"/>
      <c r="T13" s="83"/>
      <c r="U13" s="84"/>
      <c r="V13" s="84">
        <v>1</v>
      </c>
      <c r="W13" s="84"/>
      <c r="X13" s="85"/>
      <c r="Y13" s="349"/>
      <c r="Z13" s="84"/>
      <c r="AA13" s="84">
        <v>1</v>
      </c>
      <c r="AB13" s="84"/>
      <c r="AC13" s="85"/>
      <c r="AD13" s="83"/>
      <c r="AE13" s="84"/>
      <c r="AF13" s="84">
        <v>1</v>
      </c>
      <c r="AG13" s="84"/>
      <c r="AH13" s="85"/>
      <c r="AI13" s="83"/>
      <c r="AJ13" s="84"/>
      <c r="AK13" s="84">
        <v>1</v>
      </c>
      <c r="AL13" s="84"/>
      <c r="AM13" s="86"/>
      <c r="AN13" s="83"/>
      <c r="AO13" s="84"/>
      <c r="AP13" s="84">
        <v>1</v>
      </c>
      <c r="AQ13" s="84"/>
      <c r="AR13" s="85"/>
      <c r="AS13" s="83"/>
      <c r="AT13" s="84"/>
      <c r="AU13" s="84">
        <v>1</v>
      </c>
      <c r="AV13" s="84"/>
      <c r="AW13" s="80"/>
      <c r="AX13" s="83"/>
      <c r="AY13" s="84"/>
      <c r="AZ13" s="8">
        <v>1</v>
      </c>
      <c r="BA13" s="84"/>
      <c r="BB13" s="80"/>
      <c r="BC13" s="83"/>
      <c r="BD13" s="84"/>
      <c r="BE13" s="84"/>
      <c r="BF13" s="84"/>
      <c r="BG13" s="80"/>
      <c r="BH13" s="83"/>
      <c r="BI13" s="84"/>
      <c r="BJ13" s="84"/>
      <c r="BK13" s="84"/>
      <c r="BL13" s="80"/>
      <c r="BM13" s="83"/>
      <c r="BN13" s="84"/>
      <c r="BO13" s="85"/>
      <c r="BP13" s="378"/>
      <c r="BQ13" s="80"/>
    </row>
    <row r="14" spans="2:71" s="2" customFormat="1" ht="45" customHeight="1" x14ac:dyDescent="0.2">
      <c r="B14" s="392">
        <v>8</v>
      </c>
      <c r="C14" s="528"/>
      <c r="D14" s="563" t="s">
        <v>100</v>
      </c>
      <c r="E14" s="314" t="s">
        <v>101</v>
      </c>
      <c r="F14" s="290" t="s">
        <v>102</v>
      </c>
      <c r="G14" s="308" t="s">
        <v>92</v>
      </c>
      <c r="H14" s="308" t="s">
        <v>92</v>
      </c>
      <c r="I14" s="313" t="s">
        <v>79</v>
      </c>
      <c r="J14" s="83"/>
      <c r="K14" s="86"/>
      <c r="L14" s="83">
        <v>1</v>
      </c>
      <c r="M14" s="84"/>
      <c r="N14" s="86"/>
      <c r="O14" s="83"/>
      <c r="P14" s="84"/>
      <c r="Q14" s="84">
        <v>1</v>
      </c>
      <c r="R14" s="84"/>
      <c r="S14" s="85"/>
      <c r="T14" s="83"/>
      <c r="U14" s="84"/>
      <c r="V14" s="84">
        <v>1</v>
      </c>
      <c r="W14" s="84"/>
      <c r="X14" s="85"/>
      <c r="Y14" s="349"/>
      <c r="Z14" s="84"/>
      <c r="AA14" s="84">
        <v>1</v>
      </c>
      <c r="AB14" s="84"/>
      <c r="AC14" s="85"/>
      <c r="AD14" s="83"/>
      <c r="AE14" s="84"/>
      <c r="AF14" s="84">
        <v>1</v>
      </c>
      <c r="AG14" s="84"/>
      <c r="AH14" s="85"/>
      <c r="AI14" s="83"/>
      <c r="AJ14" s="84"/>
      <c r="AK14" s="84">
        <v>1</v>
      </c>
      <c r="AL14" s="84"/>
      <c r="AM14" s="86"/>
      <c r="AN14" s="83"/>
      <c r="AO14" s="84"/>
      <c r="AP14" s="84">
        <v>1</v>
      </c>
      <c r="AQ14" s="84"/>
      <c r="AR14" s="85"/>
      <c r="AS14" s="117"/>
      <c r="AT14" s="108"/>
      <c r="AU14" s="108">
        <v>1</v>
      </c>
      <c r="AV14" s="108"/>
      <c r="AW14" s="80"/>
      <c r="AX14" s="83"/>
      <c r="AY14" s="84"/>
      <c r="AZ14" s="8">
        <v>1</v>
      </c>
      <c r="BA14" s="84"/>
      <c r="BB14" s="80"/>
      <c r="BC14" s="83"/>
      <c r="BD14" s="84"/>
      <c r="BE14" s="84"/>
      <c r="BF14" s="84"/>
      <c r="BG14" s="80"/>
      <c r="BH14" s="83"/>
      <c r="BI14" s="84"/>
      <c r="BJ14" s="84"/>
      <c r="BK14" s="84"/>
      <c r="BL14" s="80"/>
      <c r="BM14" s="83"/>
      <c r="BN14" s="84"/>
      <c r="BO14" s="85"/>
      <c r="BP14" s="378"/>
      <c r="BQ14" s="80"/>
    </row>
    <row r="15" spans="2:71" s="2" customFormat="1" ht="45" customHeight="1" x14ac:dyDescent="0.2">
      <c r="B15" s="392">
        <v>9</v>
      </c>
      <c r="C15" s="528"/>
      <c r="D15" s="563" t="s">
        <v>103</v>
      </c>
      <c r="E15" s="314" t="s">
        <v>104</v>
      </c>
      <c r="F15" s="290" t="s">
        <v>105</v>
      </c>
      <c r="G15" s="308" t="s">
        <v>92</v>
      </c>
      <c r="H15" s="308" t="s">
        <v>92</v>
      </c>
      <c r="I15" s="313" t="s">
        <v>79</v>
      </c>
      <c r="J15" s="83"/>
      <c r="K15" s="86"/>
      <c r="L15" s="87">
        <v>0.93679999999999997</v>
      </c>
      <c r="M15" s="98"/>
      <c r="N15" s="495"/>
      <c r="O15" s="87"/>
      <c r="P15" s="98"/>
      <c r="Q15" s="98">
        <v>0.94740000000000002</v>
      </c>
      <c r="R15" s="98"/>
      <c r="S15" s="103"/>
      <c r="T15" s="87"/>
      <c r="U15" s="98"/>
      <c r="V15" s="98">
        <v>0.92630000000000001</v>
      </c>
      <c r="W15" s="98"/>
      <c r="X15" s="103"/>
      <c r="Y15" s="97"/>
      <c r="Z15" s="98"/>
      <c r="AA15" s="98">
        <v>0.82110000000000005</v>
      </c>
      <c r="AB15" s="84"/>
      <c r="AC15" s="85"/>
      <c r="AD15" s="83"/>
      <c r="AE15" s="84"/>
      <c r="AF15" s="84">
        <v>0.84209999999999996</v>
      </c>
      <c r="AG15" s="84"/>
      <c r="AH15" s="85"/>
      <c r="AI15" s="83"/>
      <c r="AJ15" s="84"/>
      <c r="AK15" s="84">
        <v>0.85260000000000002</v>
      </c>
      <c r="AL15" s="84"/>
      <c r="AM15" s="86"/>
      <c r="AN15" s="83"/>
      <c r="AO15" s="84"/>
      <c r="AP15" s="84">
        <v>0.94740000000000002</v>
      </c>
      <c r="AQ15" s="84"/>
      <c r="AR15" s="85"/>
      <c r="AS15" s="117"/>
      <c r="AT15" s="121"/>
      <c r="AU15" s="121">
        <v>0.94740000000000002</v>
      </c>
      <c r="AV15" s="108"/>
      <c r="AW15" s="80"/>
      <c r="AX15" s="87"/>
      <c r="AY15" s="8"/>
      <c r="AZ15" s="84">
        <v>0.96</v>
      </c>
      <c r="BA15" s="84"/>
      <c r="BB15" s="80"/>
      <c r="BC15" s="87"/>
      <c r="BD15" s="84"/>
      <c r="BE15" s="98"/>
      <c r="BF15" s="84"/>
      <c r="BG15" s="80"/>
      <c r="BH15" s="83"/>
      <c r="BI15" s="84"/>
      <c r="BJ15" s="84"/>
      <c r="BK15" s="84"/>
      <c r="BL15" s="80"/>
      <c r="BM15" s="83"/>
      <c r="BN15" s="84"/>
      <c r="BO15" s="85"/>
      <c r="BP15" s="378"/>
      <c r="BQ15" s="80"/>
    </row>
    <row r="16" spans="2:71" s="2" customFormat="1" ht="45" customHeight="1" x14ac:dyDescent="0.2">
      <c r="B16" s="392">
        <v>10</v>
      </c>
      <c r="C16" s="528"/>
      <c r="D16" s="563" t="s">
        <v>106</v>
      </c>
      <c r="E16" s="314" t="s">
        <v>107</v>
      </c>
      <c r="F16" s="290" t="s">
        <v>108</v>
      </c>
      <c r="G16" s="308" t="s">
        <v>92</v>
      </c>
      <c r="H16" s="308" t="s">
        <v>92</v>
      </c>
      <c r="I16" s="313" t="s">
        <v>79</v>
      </c>
      <c r="J16" s="83"/>
      <c r="K16" s="86"/>
      <c r="L16" s="87">
        <v>0.875</v>
      </c>
      <c r="M16" s="98"/>
      <c r="N16" s="495"/>
      <c r="O16" s="87"/>
      <c r="P16" s="98"/>
      <c r="Q16" s="98">
        <v>1</v>
      </c>
      <c r="R16" s="98"/>
      <c r="S16" s="103"/>
      <c r="T16" s="87"/>
      <c r="U16" s="98"/>
      <c r="V16" s="98">
        <v>1</v>
      </c>
      <c r="W16" s="98"/>
      <c r="X16" s="103"/>
      <c r="Y16" s="97"/>
      <c r="Z16" s="98"/>
      <c r="AA16" s="98">
        <v>0.83330000000000004</v>
      </c>
      <c r="AB16" s="84"/>
      <c r="AC16" s="85"/>
      <c r="AD16" s="83"/>
      <c r="AE16" s="84"/>
      <c r="AF16" s="84">
        <v>0.85709999999999997</v>
      </c>
      <c r="AG16" s="84"/>
      <c r="AH16" s="85"/>
      <c r="AI16" s="83"/>
      <c r="AJ16" s="84"/>
      <c r="AK16" s="84">
        <v>0.83330000000000004</v>
      </c>
      <c r="AL16" s="84"/>
      <c r="AM16" s="86"/>
      <c r="AN16" s="83"/>
      <c r="AO16" s="84"/>
      <c r="AP16" s="84">
        <v>1</v>
      </c>
      <c r="AQ16" s="84"/>
      <c r="AR16" s="85"/>
      <c r="AS16" s="117"/>
      <c r="AT16" s="108"/>
      <c r="AU16" s="113">
        <v>1</v>
      </c>
      <c r="AV16" s="108"/>
      <c r="AW16" s="80"/>
      <c r="AX16" s="87"/>
      <c r="AY16" s="8"/>
      <c r="AZ16" s="8">
        <v>1</v>
      </c>
      <c r="BA16" s="84"/>
      <c r="BB16" s="80"/>
      <c r="BC16" s="87"/>
      <c r="BD16" s="84"/>
      <c r="BE16" s="84"/>
      <c r="BF16" s="84"/>
      <c r="BG16" s="80"/>
      <c r="BH16" s="83"/>
      <c r="BI16" s="84"/>
      <c r="BJ16" s="84"/>
      <c r="BK16" s="84"/>
      <c r="BL16" s="80"/>
      <c r="BM16" s="83"/>
      <c r="BN16" s="84"/>
      <c r="BO16" s="85"/>
      <c r="BP16" s="378"/>
      <c r="BQ16" s="80"/>
    </row>
    <row r="17" spans="2:69" s="2" customFormat="1" ht="45" customHeight="1" x14ac:dyDescent="0.2">
      <c r="B17" s="392">
        <v>11</v>
      </c>
      <c r="C17" s="528"/>
      <c r="D17" s="563" t="s">
        <v>109</v>
      </c>
      <c r="E17" s="314" t="s">
        <v>110</v>
      </c>
      <c r="F17" s="290" t="s">
        <v>111</v>
      </c>
      <c r="G17" s="308" t="s">
        <v>92</v>
      </c>
      <c r="H17" s="308" t="s">
        <v>92</v>
      </c>
      <c r="I17" s="313" t="s">
        <v>79</v>
      </c>
      <c r="J17" s="83"/>
      <c r="K17" s="86"/>
      <c r="L17" s="87">
        <v>1</v>
      </c>
      <c r="M17" s="98"/>
      <c r="N17" s="495"/>
      <c r="O17" s="87"/>
      <c r="P17" s="98"/>
      <c r="Q17" s="98">
        <v>0.9667</v>
      </c>
      <c r="R17" s="98"/>
      <c r="S17" s="103"/>
      <c r="T17" s="87"/>
      <c r="U17" s="98"/>
      <c r="V17" s="98">
        <v>0.84</v>
      </c>
      <c r="W17" s="98"/>
      <c r="X17" s="103"/>
      <c r="Y17" s="97"/>
      <c r="Z17" s="98"/>
      <c r="AA17" s="98">
        <v>0.95</v>
      </c>
      <c r="AB17" s="84"/>
      <c r="AC17" s="85"/>
      <c r="AD17" s="83"/>
      <c r="AE17" s="84"/>
      <c r="AF17" s="84">
        <v>0.97499999999999998</v>
      </c>
      <c r="AG17" s="84"/>
      <c r="AH17" s="85"/>
      <c r="AI17" s="83"/>
      <c r="AJ17" s="84"/>
      <c r="AK17" s="84">
        <v>0.95</v>
      </c>
      <c r="AL17" s="84"/>
      <c r="AM17" s="86"/>
      <c r="AN17" s="83"/>
      <c r="AO17" s="84"/>
      <c r="AP17" s="84">
        <v>0.92859999999999998</v>
      </c>
      <c r="AQ17" s="84"/>
      <c r="AR17" s="85"/>
      <c r="AS17" s="117"/>
      <c r="AT17" s="108"/>
      <c r="AU17" s="121">
        <v>0.95709999999999995</v>
      </c>
      <c r="AV17" s="108"/>
      <c r="AW17" s="80"/>
      <c r="AX17" s="87"/>
      <c r="AY17" s="8"/>
      <c r="AZ17" s="8">
        <v>0.92310000000000003</v>
      </c>
      <c r="BA17" s="84"/>
      <c r="BB17" s="80"/>
      <c r="BC17" s="87"/>
      <c r="BD17" s="84"/>
      <c r="BE17" s="98"/>
      <c r="BF17" s="84"/>
      <c r="BG17" s="80"/>
      <c r="BH17" s="83"/>
      <c r="BI17" s="84"/>
      <c r="BJ17" s="84"/>
      <c r="BK17" s="84"/>
      <c r="BL17" s="80"/>
      <c r="BM17" s="83"/>
      <c r="BN17" s="84"/>
      <c r="BO17" s="85"/>
      <c r="BP17" s="378"/>
      <c r="BQ17" s="80"/>
    </row>
    <row r="18" spans="2:69" s="2" customFormat="1" ht="45" customHeight="1" x14ac:dyDescent="0.2">
      <c r="B18" s="392">
        <v>12</v>
      </c>
      <c r="C18" s="528"/>
      <c r="D18" s="563" t="s">
        <v>112</v>
      </c>
      <c r="E18" s="314" t="s">
        <v>113</v>
      </c>
      <c r="F18" s="290" t="s">
        <v>114</v>
      </c>
      <c r="G18" s="308" t="s">
        <v>92</v>
      </c>
      <c r="H18" s="308" t="s">
        <v>92</v>
      </c>
      <c r="I18" s="313" t="s">
        <v>115</v>
      </c>
      <c r="J18" s="107"/>
      <c r="K18" s="115"/>
      <c r="L18" s="117">
        <v>1</v>
      </c>
      <c r="M18" s="121"/>
      <c r="N18" s="374"/>
      <c r="O18" s="117"/>
      <c r="P18" s="121"/>
      <c r="Q18" s="121">
        <v>1</v>
      </c>
      <c r="R18" s="121"/>
      <c r="S18" s="496"/>
      <c r="T18" s="117"/>
      <c r="U18" s="121"/>
      <c r="V18" s="121">
        <v>1</v>
      </c>
      <c r="W18" s="121"/>
      <c r="X18" s="496"/>
      <c r="Y18" s="122"/>
      <c r="Z18" s="121"/>
      <c r="AA18" s="121">
        <v>1</v>
      </c>
      <c r="AB18" s="108"/>
      <c r="AC18" s="109"/>
      <c r="AD18" s="83"/>
      <c r="AE18" s="84"/>
      <c r="AF18" s="84">
        <v>1</v>
      </c>
      <c r="AG18" s="84"/>
      <c r="AH18" s="85"/>
      <c r="AI18" s="83"/>
      <c r="AJ18" s="84"/>
      <c r="AK18" s="84">
        <v>1</v>
      </c>
      <c r="AL18" s="84"/>
      <c r="AM18" s="86"/>
      <c r="AN18" s="83"/>
      <c r="AO18" s="84"/>
      <c r="AP18" s="84">
        <v>1</v>
      </c>
      <c r="AQ18" s="84"/>
      <c r="AR18" s="85"/>
      <c r="AS18" s="87"/>
      <c r="AT18" s="84"/>
      <c r="AU18" s="84">
        <v>1</v>
      </c>
      <c r="AV18" s="84"/>
      <c r="AW18" s="80"/>
      <c r="AX18" s="87"/>
      <c r="AY18" s="8"/>
      <c r="AZ18" s="8">
        <v>1</v>
      </c>
      <c r="BA18" s="84"/>
      <c r="BB18" s="80"/>
      <c r="BC18" s="87"/>
      <c r="BD18" s="84"/>
      <c r="BE18" s="84"/>
      <c r="BF18" s="84"/>
      <c r="BG18" s="80"/>
      <c r="BH18" s="83"/>
      <c r="BI18" s="84"/>
      <c r="BJ18" s="84"/>
      <c r="BK18" s="84"/>
      <c r="BL18" s="80"/>
      <c r="BM18" s="83"/>
      <c r="BN18" s="84"/>
      <c r="BO18" s="85"/>
      <c r="BP18" s="378"/>
      <c r="BQ18" s="80"/>
    </row>
    <row r="19" spans="2:69" s="2" customFormat="1" ht="45" customHeight="1" x14ac:dyDescent="0.2">
      <c r="B19" s="392">
        <v>13</v>
      </c>
      <c r="C19" s="528"/>
      <c r="D19" s="563" t="s">
        <v>116</v>
      </c>
      <c r="E19" s="314" t="s">
        <v>117</v>
      </c>
      <c r="F19" s="290" t="s">
        <v>118</v>
      </c>
      <c r="G19" s="308" t="s">
        <v>92</v>
      </c>
      <c r="H19" s="308" t="s">
        <v>92</v>
      </c>
      <c r="I19" s="313" t="s">
        <v>79</v>
      </c>
      <c r="J19" s="107"/>
      <c r="K19" s="115"/>
      <c r="L19" s="117">
        <v>1</v>
      </c>
      <c r="M19" s="121"/>
      <c r="N19" s="374"/>
      <c r="O19" s="117"/>
      <c r="P19" s="121"/>
      <c r="Q19" s="121">
        <v>0.83330000000000004</v>
      </c>
      <c r="R19" s="121"/>
      <c r="S19" s="496"/>
      <c r="T19" s="117"/>
      <c r="U19" s="121"/>
      <c r="V19" s="121">
        <v>1</v>
      </c>
      <c r="W19" s="121"/>
      <c r="X19" s="496"/>
      <c r="Y19" s="122"/>
      <c r="Z19" s="121"/>
      <c r="AA19" s="121">
        <v>0.88890000000000002</v>
      </c>
      <c r="AB19" s="108"/>
      <c r="AC19" s="109"/>
      <c r="AD19" s="83"/>
      <c r="AE19" s="84"/>
      <c r="AF19" s="84">
        <v>1</v>
      </c>
      <c r="AG19" s="84"/>
      <c r="AH19" s="85"/>
      <c r="AI19" s="83"/>
      <c r="AJ19" s="84"/>
      <c r="AK19" s="84">
        <v>0.875</v>
      </c>
      <c r="AL19" s="84"/>
      <c r="AM19" s="86"/>
      <c r="AN19" s="83"/>
      <c r="AO19" s="108"/>
      <c r="AP19" s="115">
        <v>0.83330000000000004</v>
      </c>
      <c r="AQ19" s="108"/>
      <c r="AR19" s="109"/>
      <c r="AS19" s="117"/>
      <c r="AT19" s="108"/>
      <c r="AU19" s="115">
        <v>0.85709999999999997</v>
      </c>
      <c r="AV19" s="84"/>
      <c r="AW19" s="80"/>
      <c r="AX19" s="87"/>
      <c r="AY19" s="8"/>
      <c r="AZ19" s="8">
        <v>0.83299999999999996</v>
      </c>
      <c r="BA19" s="84"/>
      <c r="BB19" s="80"/>
      <c r="BC19" s="87"/>
      <c r="BD19" s="84"/>
      <c r="BE19" s="84"/>
      <c r="BF19" s="84"/>
      <c r="BG19" s="80"/>
      <c r="BH19" s="83"/>
      <c r="BI19" s="84"/>
      <c r="BJ19" s="112"/>
      <c r="BK19" s="84"/>
      <c r="BL19" s="80"/>
      <c r="BM19" s="83"/>
      <c r="BN19" s="84"/>
      <c r="BO19" s="119"/>
      <c r="BP19" s="378"/>
      <c r="BQ19" s="80"/>
    </row>
    <row r="20" spans="2:69" s="2" customFormat="1" ht="45" customHeight="1" thickBot="1" x14ac:dyDescent="0.25">
      <c r="B20" s="392">
        <v>14</v>
      </c>
      <c r="C20" s="529"/>
      <c r="D20" s="564" t="s">
        <v>394</v>
      </c>
      <c r="E20" s="321" t="s">
        <v>120</v>
      </c>
      <c r="F20" s="297" t="s">
        <v>121</v>
      </c>
      <c r="G20" s="322" t="s">
        <v>92</v>
      </c>
      <c r="H20" s="322" t="s">
        <v>92</v>
      </c>
      <c r="I20" s="323" t="s">
        <v>79</v>
      </c>
      <c r="J20" s="393"/>
      <c r="K20" s="394"/>
      <c r="L20" s="499">
        <v>0.97719999999999996</v>
      </c>
      <c r="M20" s="497"/>
      <c r="N20" s="498"/>
      <c r="O20" s="499"/>
      <c r="P20" s="497"/>
      <c r="Q20" s="502">
        <v>0.96340000000000003</v>
      </c>
      <c r="R20" s="497"/>
      <c r="S20" s="500"/>
      <c r="T20" s="499"/>
      <c r="U20" s="497"/>
      <c r="V20" s="502">
        <v>0.98599999999999999</v>
      </c>
      <c r="W20" s="497"/>
      <c r="X20" s="500"/>
      <c r="Y20" s="501"/>
      <c r="Z20" s="497"/>
      <c r="AA20" s="505">
        <v>0.9385</v>
      </c>
      <c r="AB20" s="397"/>
      <c r="AC20" s="401"/>
      <c r="AD20" s="402"/>
      <c r="AE20" s="403"/>
      <c r="AF20" s="505">
        <v>0.9415</v>
      </c>
      <c r="AG20" s="403"/>
      <c r="AH20" s="404"/>
      <c r="AI20" s="402"/>
      <c r="AJ20" s="403"/>
      <c r="AK20" s="403">
        <v>0.93889999999999996</v>
      </c>
      <c r="AL20" s="403"/>
      <c r="AM20" s="405"/>
      <c r="AN20" s="402"/>
      <c r="AO20" s="403"/>
      <c r="AP20" s="403">
        <v>0.9617</v>
      </c>
      <c r="AQ20" s="403"/>
      <c r="AR20" s="404"/>
      <c r="AS20" s="402"/>
      <c r="AT20" s="403"/>
      <c r="AU20" s="403">
        <v>0.95730000000000004</v>
      </c>
      <c r="AV20" s="403"/>
      <c r="AW20" s="82"/>
      <c r="AX20" s="402"/>
      <c r="AY20" s="403"/>
      <c r="AZ20" s="403">
        <v>0.96260000000000001</v>
      </c>
      <c r="BA20" s="403"/>
      <c r="BB20" s="403"/>
      <c r="BC20" s="403"/>
      <c r="BD20" s="403"/>
      <c r="BE20" s="403"/>
      <c r="BF20" s="403"/>
      <c r="BG20" s="82"/>
      <c r="BH20" s="402"/>
      <c r="BI20" s="403"/>
      <c r="BJ20" s="403"/>
      <c r="BK20" s="403"/>
      <c r="BL20" s="406"/>
      <c r="BM20" s="407"/>
      <c r="BN20" s="408"/>
      <c r="BO20" s="404"/>
      <c r="BP20" s="378"/>
      <c r="BQ20" s="251"/>
    </row>
    <row r="21" spans="2:69" s="2" customFormat="1" ht="36.950000000000003" customHeight="1" x14ac:dyDescent="0.2">
      <c r="B21" s="318">
        <v>1</v>
      </c>
      <c r="C21" s="530" t="s">
        <v>122</v>
      </c>
      <c r="D21" s="301" t="s">
        <v>123</v>
      </c>
      <c r="E21" s="316" t="s">
        <v>124</v>
      </c>
      <c r="F21" s="296" t="s">
        <v>125</v>
      </c>
      <c r="G21" s="306" t="s">
        <v>126</v>
      </c>
      <c r="H21" s="306" t="s">
        <v>126</v>
      </c>
      <c r="I21" s="317" t="s">
        <v>115</v>
      </c>
      <c r="J21" s="410"/>
      <c r="K21" s="411"/>
      <c r="L21" s="411"/>
      <c r="M21" s="411"/>
      <c r="N21" s="411"/>
      <c r="O21" s="410"/>
      <c r="P21" s="411"/>
      <c r="Q21" s="411"/>
      <c r="R21" s="411"/>
      <c r="S21" s="379"/>
      <c r="T21" s="412"/>
      <c r="U21" s="65"/>
      <c r="V21" s="493">
        <v>0</v>
      </c>
      <c r="W21" s="65"/>
      <c r="X21" s="66"/>
      <c r="Y21" s="411"/>
      <c r="Z21" s="411"/>
      <c r="AA21" s="411"/>
      <c r="AB21" s="411"/>
      <c r="AC21" s="379"/>
      <c r="AD21" s="411"/>
      <c r="AE21" s="411"/>
      <c r="AF21" s="411"/>
      <c r="AG21" s="411"/>
      <c r="AH21" s="379"/>
      <c r="AI21" s="413"/>
      <c r="AJ21" s="414"/>
      <c r="AK21" s="479">
        <v>0</v>
      </c>
      <c r="AL21" s="414"/>
      <c r="AM21" s="415"/>
      <c r="AN21" s="410"/>
      <c r="AO21" s="411"/>
      <c r="AP21" s="411"/>
      <c r="AQ21" s="411"/>
      <c r="AR21" s="416"/>
      <c r="AS21" s="410"/>
      <c r="AT21" s="411"/>
      <c r="AU21" s="411"/>
      <c r="AV21" s="411"/>
      <c r="AW21" s="417"/>
      <c r="AX21" s="413"/>
      <c r="AY21" s="414"/>
      <c r="AZ21" s="479">
        <v>0</v>
      </c>
      <c r="BA21" s="414"/>
      <c r="BB21" s="416"/>
      <c r="BC21" s="410"/>
      <c r="BD21" s="411"/>
      <c r="BE21" s="411"/>
      <c r="BF21" s="411"/>
      <c r="BG21" s="416"/>
      <c r="BH21" s="410"/>
      <c r="BI21" s="411"/>
      <c r="BJ21" s="411"/>
      <c r="BK21" s="411"/>
      <c r="BL21" s="418"/>
      <c r="BM21" s="419"/>
      <c r="BN21" s="414"/>
      <c r="BO21" s="418"/>
      <c r="BP21" s="252"/>
      <c r="BQ21" s="252"/>
    </row>
    <row r="22" spans="2:69" s="2" customFormat="1" ht="33.6" customHeight="1" x14ac:dyDescent="0.2">
      <c r="B22" s="318">
        <v>2</v>
      </c>
      <c r="C22" s="531"/>
      <c r="D22" s="299" t="s">
        <v>127</v>
      </c>
      <c r="E22" s="314" t="s">
        <v>128</v>
      </c>
      <c r="F22" s="290" t="s">
        <v>129</v>
      </c>
      <c r="G22" s="308"/>
      <c r="H22" s="308" t="s">
        <v>130</v>
      </c>
      <c r="I22" s="313" t="s">
        <v>115</v>
      </c>
      <c r="J22" s="79"/>
      <c r="K22" s="74"/>
      <c r="L22" s="79"/>
      <c r="M22" s="74"/>
      <c r="N22" s="74"/>
      <c r="O22" s="79"/>
      <c r="P22" s="74"/>
      <c r="Q22" s="74"/>
      <c r="R22" s="74"/>
      <c r="S22" s="80"/>
      <c r="T22" s="107"/>
      <c r="U22" s="67"/>
      <c r="V22" s="494">
        <v>0</v>
      </c>
      <c r="W22" s="67"/>
      <c r="X22" s="70"/>
      <c r="Y22" s="74"/>
      <c r="Z22" s="74"/>
      <c r="AA22" s="74"/>
      <c r="AB22" s="74"/>
      <c r="AC22" s="80"/>
      <c r="AD22" s="74"/>
      <c r="AE22" s="74"/>
      <c r="AF22" s="74"/>
      <c r="AG22" s="74"/>
      <c r="AH22" s="80"/>
      <c r="AI22" s="224"/>
      <c r="AJ22" s="225"/>
      <c r="AK22" s="67">
        <v>0</v>
      </c>
      <c r="AL22" s="278"/>
      <c r="AM22" s="279"/>
      <c r="AN22" s="79"/>
      <c r="AO22" s="74"/>
      <c r="AP22" s="74"/>
      <c r="AQ22" s="74"/>
      <c r="AR22" s="10"/>
      <c r="AS22" s="79"/>
      <c r="AT22" s="74"/>
      <c r="AU22" s="74"/>
      <c r="AV22" s="74"/>
      <c r="AW22" s="280"/>
      <c r="AX22" s="224"/>
      <c r="AY22" s="225"/>
      <c r="AZ22" s="67">
        <v>0</v>
      </c>
      <c r="BA22" s="225"/>
      <c r="BB22" s="10"/>
      <c r="BC22" s="79"/>
      <c r="BD22" s="74"/>
      <c r="BE22" s="74"/>
      <c r="BF22" s="74"/>
      <c r="BG22" s="10"/>
      <c r="BH22" s="79"/>
      <c r="BI22" s="74"/>
      <c r="BJ22" s="74"/>
      <c r="BK22" s="74"/>
      <c r="BL22" s="281"/>
      <c r="BM22" s="282"/>
      <c r="BN22" s="278"/>
      <c r="BO22" s="281"/>
      <c r="BP22" s="284"/>
      <c r="BQ22" s="284"/>
    </row>
    <row r="23" spans="2:69" s="2" customFormat="1" ht="35.1" customHeight="1" x14ac:dyDescent="0.2">
      <c r="B23" s="319">
        <v>3</v>
      </c>
      <c r="C23" s="531"/>
      <c r="D23" s="299" t="s">
        <v>131</v>
      </c>
      <c r="E23" s="314" t="s">
        <v>132</v>
      </c>
      <c r="F23" s="290" t="s">
        <v>133</v>
      </c>
      <c r="G23" s="308" t="s">
        <v>134</v>
      </c>
      <c r="H23" s="308" t="s">
        <v>143</v>
      </c>
      <c r="I23" s="313" t="s">
        <v>79</v>
      </c>
      <c r="J23" s="79"/>
      <c r="K23" s="74"/>
      <c r="L23" s="118">
        <v>1</v>
      </c>
      <c r="M23" s="121"/>
      <c r="N23" s="113"/>
      <c r="O23" s="117"/>
      <c r="P23" s="112"/>
      <c r="Q23" s="112">
        <v>1</v>
      </c>
      <c r="R23" s="121"/>
      <c r="S23" s="119"/>
      <c r="T23" s="87"/>
      <c r="U23" s="8"/>
      <c r="V23" s="8">
        <v>0.95</v>
      </c>
      <c r="W23" s="8"/>
      <c r="X23" s="10"/>
      <c r="Y23" s="31"/>
      <c r="Z23" s="8"/>
      <c r="AA23" s="8">
        <v>0.82</v>
      </c>
      <c r="AB23" s="98"/>
      <c r="AC23" s="10"/>
      <c r="AD23" s="87"/>
      <c r="AE23" s="8"/>
      <c r="AF23" s="8">
        <v>0.85</v>
      </c>
      <c r="AG23" s="8">
        <v>0.85</v>
      </c>
      <c r="AH23" s="8">
        <v>0.85</v>
      </c>
      <c r="AI23" s="8">
        <v>0.85</v>
      </c>
      <c r="AJ23" s="8">
        <v>0.85</v>
      </c>
      <c r="AK23" s="8">
        <v>0.85</v>
      </c>
      <c r="AL23" s="8"/>
      <c r="AM23" s="23"/>
      <c r="AN23" s="87"/>
      <c r="AO23" s="8"/>
      <c r="AP23" s="8">
        <v>0.6</v>
      </c>
      <c r="AQ23" s="98"/>
      <c r="AR23" s="10"/>
      <c r="AS23" s="87"/>
      <c r="AT23" s="84"/>
      <c r="AU23" s="8">
        <v>0.82</v>
      </c>
      <c r="AV23" s="8"/>
      <c r="AW23" s="10"/>
      <c r="AX23" s="83"/>
      <c r="AY23" s="8"/>
      <c r="AZ23" s="8">
        <v>0.95</v>
      </c>
      <c r="BA23" s="98"/>
      <c r="BB23" s="10"/>
      <c r="BC23" s="87"/>
      <c r="BD23" s="8"/>
      <c r="BE23" s="8"/>
      <c r="BF23" s="98"/>
      <c r="BG23" s="10"/>
      <c r="BH23" s="9"/>
      <c r="BI23" s="8"/>
      <c r="BJ23" s="8"/>
      <c r="BK23" s="8"/>
      <c r="BL23" s="103"/>
      <c r="BM23" s="87"/>
      <c r="BN23" s="98"/>
      <c r="BO23" s="103"/>
      <c r="BP23" s="253"/>
      <c r="BQ23" s="253"/>
    </row>
    <row r="24" spans="2:69" s="2" customFormat="1" ht="34.5" customHeight="1" x14ac:dyDescent="0.2">
      <c r="B24" s="319">
        <v>4</v>
      </c>
      <c r="C24" s="531"/>
      <c r="D24" s="533" t="s">
        <v>139</v>
      </c>
      <c r="E24" s="535" t="s">
        <v>140</v>
      </c>
      <c r="F24" s="290" t="s">
        <v>390</v>
      </c>
      <c r="G24" s="308" t="s">
        <v>134</v>
      </c>
      <c r="H24" s="308" t="s">
        <v>143</v>
      </c>
      <c r="I24" s="313" t="s">
        <v>79</v>
      </c>
      <c r="J24" s="117"/>
      <c r="K24" s="374"/>
      <c r="L24" s="118">
        <v>1</v>
      </c>
      <c r="M24" s="121"/>
      <c r="N24" s="113"/>
      <c r="O24" s="117"/>
      <c r="P24" s="112"/>
      <c r="Q24" s="112">
        <v>1</v>
      </c>
      <c r="R24" s="121"/>
      <c r="S24" s="119"/>
      <c r="T24" s="87"/>
      <c r="U24" s="8"/>
      <c r="V24" s="8">
        <v>1</v>
      </c>
      <c r="W24" s="8"/>
      <c r="X24" s="10"/>
      <c r="Y24" s="31"/>
      <c r="Z24" s="8"/>
      <c r="AA24" s="8">
        <v>0.9</v>
      </c>
      <c r="AB24" s="98"/>
      <c r="AC24" s="10"/>
      <c r="AD24" s="87"/>
      <c r="AE24" s="8"/>
      <c r="AF24" s="8">
        <v>0.92</v>
      </c>
      <c r="AG24" s="8">
        <v>0.92</v>
      </c>
      <c r="AH24" s="8">
        <v>0.92</v>
      </c>
      <c r="AI24" s="8">
        <v>0.92</v>
      </c>
      <c r="AJ24" s="8">
        <v>0.92</v>
      </c>
      <c r="AK24" s="8">
        <v>0.92</v>
      </c>
      <c r="AL24" s="8">
        <v>0.92</v>
      </c>
      <c r="AM24" s="8">
        <v>0.92</v>
      </c>
      <c r="AN24" s="8">
        <v>0.92</v>
      </c>
      <c r="AO24" s="8">
        <v>0.92</v>
      </c>
      <c r="AP24" s="8">
        <v>0.62380000000000002</v>
      </c>
      <c r="AQ24" s="98"/>
      <c r="AR24" s="10"/>
      <c r="AS24" s="87"/>
      <c r="AT24" s="84"/>
      <c r="AU24" s="8">
        <v>0.82</v>
      </c>
      <c r="AV24" s="8"/>
      <c r="AW24" s="10"/>
      <c r="AX24" s="83"/>
      <c r="AY24" s="8"/>
      <c r="AZ24" s="8">
        <v>1</v>
      </c>
      <c r="BA24" s="98"/>
      <c r="BB24" s="10"/>
      <c r="BC24" s="87"/>
      <c r="BD24" s="8"/>
      <c r="BE24" s="8"/>
      <c r="BF24" s="98"/>
      <c r="BG24" s="10"/>
      <c r="BH24" s="9"/>
      <c r="BI24" s="8"/>
      <c r="BJ24" s="8"/>
      <c r="BK24" s="8"/>
      <c r="BL24" s="103"/>
      <c r="BM24" s="87"/>
      <c r="BN24" s="98"/>
      <c r="BO24" s="103"/>
      <c r="BP24" s="254"/>
      <c r="BQ24" s="254"/>
    </row>
    <row r="25" spans="2:69" s="2" customFormat="1" ht="47.25" customHeight="1" x14ac:dyDescent="0.2">
      <c r="B25" s="318">
        <v>5</v>
      </c>
      <c r="C25" s="531"/>
      <c r="D25" s="534"/>
      <c r="E25" s="536"/>
      <c r="F25" s="290" t="s">
        <v>142</v>
      </c>
      <c r="G25" s="308"/>
      <c r="H25" s="308" t="s">
        <v>143</v>
      </c>
      <c r="I25" s="313" t="s">
        <v>79</v>
      </c>
      <c r="J25" s="117"/>
      <c r="K25" s="374"/>
      <c r="L25" s="118">
        <v>1</v>
      </c>
      <c r="M25" s="121"/>
      <c r="N25" s="113"/>
      <c r="O25" s="117"/>
      <c r="P25" s="112"/>
      <c r="Q25" s="112">
        <v>1</v>
      </c>
      <c r="R25" s="121"/>
      <c r="S25" s="119"/>
      <c r="T25" s="101"/>
      <c r="U25" s="75"/>
      <c r="V25" s="75">
        <v>1</v>
      </c>
      <c r="W25" s="99"/>
      <c r="X25" s="76"/>
      <c r="Y25" s="31"/>
      <c r="Z25" s="98"/>
      <c r="AA25" s="8">
        <v>1</v>
      </c>
      <c r="AB25" s="112"/>
      <c r="AC25" s="10"/>
      <c r="AD25" s="87"/>
      <c r="AE25" s="98"/>
      <c r="AF25" s="8">
        <v>1</v>
      </c>
      <c r="AG25" s="8">
        <v>1</v>
      </c>
      <c r="AH25" s="8">
        <v>1</v>
      </c>
      <c r="AI25" s="8">
        <v>1</v>
      </c>
      <c r="AJ25" s="8">
        <v>1</v>
      </c>
      <c r="AK25" s="8">
        <v>1</v>
      </c>
      <c r="AL25" s="8">
        <v>1</v>
      </c>
      <c r="AM25" s="8">
        <v>1</v>
      </c>
      <c r="AN25" s="8">
        <v>1</v>
      </c>
      <c r="AO25" s="8">
        <v>1</v>
      </c>
      <c r="AP25" s="8">
        <v>1</v>
      </c>
      <c r="AQ25" s="98"/>
      <c r="AR25" s="10"/>
      <c r="AS25" s="9"/>
      <c r="AT25" s="84"/>
      <c r="AU25" s="8">
        <v>0.9</v>
      </c>
      <c r="AV25" s="8"/>
      <c r="AW25" s="10"/>
      <c r="AX25" s="83"/>
      <c r="AY25" s="8"/>
      <c r="AZ25" s="8">
        <v>1</v>
      </c>
      <c r="BA25" s="98"/>
      <c r="BB25" s="10"/>
      <c r="BC25" s="9"/>
      <c r="BD25" s="84"/>
      <c r="BE25" s="8"/>
      <c r="BF25" s="98"/>
      <c r="BG25" s="10"/>
      <c r="BH25" s="218"/>
      <c r="BI25" s="99"/>
      <c r="BJ25" s="75"/>
      <c r="BK25" s="99"/>
      <c r="BL25" s="102"/>
      <c r="BM25" s="101"/>
      <c r="BN25" s="99"/>
      <c r="BO25" s="102"/>
      <c r="BP25" s="253"/>
      <c r="BQ25" s="253"/>
    </row>
    <row r="26" spans="2:69" s="2" customFormat="1" ht="30.6" customHeight="1" x14ac:dyDescent="0.2">
      <c r="B26" s="319">
        <v>6</v>
      </c>
      <c r="C26" s="531"/>
      <c r="D26" s="299" t="s">
        <v>144</v>
      </c>
      <c r="E26" s="314" t="s">
        <v>145</v>
      </c>
      <c r="F26" s="290" t="s">
        <v>146</v>
      </c>
      <c r="G26" s="308" t="s">
        <v>143</v>
      </c>
      <c r="H26" s="308" t="s">
        <v>143</v>
      </c>
      <c r="I26" s="313" t="s">
        <v>79</v>
      </c>
      <c r="J26" s="118"/>
      <c r="K26" s="113"/>
      <c r="L26" s="118">
        <v>1</v>
      </c>
      <c r="M26" s="121"/>
      <c r="N26" s="113"/>
      <c r="O26" s="117"/>
      <c r="P26" s="112"/>
      <c r="Q26" s="112">
        <v>1</v>
      </c>
      <c r="R26" s="112"/>
      <c r="S26" s="112"/>
      <c r="T26" s="8"/>
      <c r="U26" s="8"/>
      <c r="V26" s="8">
        <v>1</v>
      </c>
      <c r="W26" s="8"/>
      <c r="X26" s="8"/>
      <c r="Y26" s="112"/>
      <c r="Z26" s="8"/>
      <c r="AA26" s="8">
        <v>1</v>
      </c>
      <c r="AB26" s="8"/>
      <c r="AC26" s="8"/>
      <c r="AD26" s="8"/>
      <c r="AE26" s="8"/>
      <c r="AF26" s="8">
        <v>1</v>
      </c>
      <c r="AG26" s="8">
        <v>1</v>
      </c>
      <c r="AH26" s="8">
        <v>1</v>
      </c>
      <c r="AI26" s="8">
        <v>1</v>
      </c>
      <c r="AJ26" s="8">
        <v>1</v>
      </c>
      <c r="AK26" s="8">
        <v>1</v>
      </c>
      <c r="AL26" s="8">
        <v>1</v>
      </c>
      <c r="AM26" s="8">
        <v>1</v>
      </c>
      <c r="AN26" s="8">
        <v>1</v>
      </c>
      <c r="AO26" s="8">
        <v>1</v>
      </c>
      <c r="AP26" s="8">
        <v>1</v>
      </c>
      <c r="AQ26" s="8"/>
      <c r="AR26" s="8"/>
      <c r="AS26" s="8"/>
      <c r="AT26" s="8"/>
      <c r="AU26" s="8">
        <v>0.95</v>
      </c>
      <c r="AV26" s="8"/>
      <c r="AW26" s="8"/>
      <c r="AX26" s="84"/>
      <c r="AY26" s="8"/>
      <c r="AZ26" s="8">
        <v>1</v>
      </c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98"/>
      <c r="BM26" s="98"/>
      <c r="BN26" s="98"/>
      <c r="BO26" s="103"/>
      <c r="BP26" s="253"/>
      <c r="BQ26" s="253"/>
    </row>
    <row r="27" spans="2:69" s="2" customFormat="1" ht="32.1" customHeight="1" x14ac:dyDescent="0.2">
      <c r="B27" s="318">
        <v>7</v>
      </c>
      <c r="C27" s="531"/>
      <c r="D27" s="299" t="s">
        <v>147</v>
      </c>
      <c r="E27" s="314" t="s">
        <v>148</v>
      </c>
      <c r="F27" s="290" t="s">
        <v>149</v>
      </c>
      <c r="G27" s="308" t="s">
        <v>134</v>
      </c>
      <c r="H27" s="308" t="s">
        <v>150</v>
      </c>
      <c r="I27" s="313" t="s">
        <v>151</v>
      </c>
      <c r="J27" s="79"/>
      <c r="K27" s="74"/>
      <c r="L27" s="79"/>
      <c r="M27" s="74"/>
      <c r="N27" s="350"/>
      <c r="O27" s="351"/>
      <c r="P27" s="352"/>
      <c r="Q27" s="352">
        <v>0.95</v>
      </c>
      <c r="R27" s="352"/>
      <c r="S27" s="353"/>
      <c r="T27" s="79"/>
      <c r="U27" s="74"/>
      <c r="V27" s="74"/>
      <c r="W27" s="74"/>
      <c r="X27" s="80"/>
      <c r="Y27" s="354"/>
      <c r="Z27" s="73"/>
      <c r="AA27" s="73">
        <v>0.9</v>
      </c>
      <c r="AB27" s="73"/>
      <c r="AC27" s="355"/>
      <c r="AD27" s="79"/>
      <c r="AE27" s="74"/>
      <c r="AF27" s="358"/>
      <c r="AG27" s="358"/>
      <c r="AH27" s="8"/>
      <c r="AI27" s="8"/>
      <c r="AJ27" s="8"/>
      <c r="AK27" s="8">
        <v>1</v>
      </c>
      <c r="AL27" s="73"/>
      <c r="AM27" s="96"/>
      <c r="AN27" s="79"/>
      <c r="AO27" s="74"/>
      <c r="AP27" s="358"/>
      <c r="AQ27" s="74"/>
      <c r="AR27" s="355"/>
      <c r="AS27" s="356"/>
      <c r="AT27" s="73"/>
      <c r="AU27" s="73">
        <v>0.9</v>
      </c>
      <c r="AV27" s="73"/>
      <c r="AW27" s="355"/>
      <c r="AX27" s="79"/>
      <c r="AY27" s="73"/>
      <c r="AZ27" s="74"/>
      <c r="BA27" s="74"/>
      <c r="BB27" s="355"/>
      <c r="BC27" s="356"/>
      <c r="BD27" s="74"/>
      <c r="BE27" s="73"/>
      <c r="BF27" s="74"/>
      <c r="BG27" s="355"/>
      <c r="BH27" s="79"/>
      <c r="BI27" s="74"/>
      <c r="BJ27" s="74"/>
      <c r="BK27" s="74"/>
      <c r="BL27" s="100"/>
      <c r="BM27" s="282"/>
      <c r="BN27" s="283"/>
      <c r="BO27" s="100"/>
      <c r="BP27" s="253"/>
      <c r="BQ27" s="254"/>
    </row>
    <row r="28" spans="2:69" s="2" customFormat="1" ht="42.95" customHeight="1" x14ac:dyDescent="0.2">
      <c r="B28" s="319">
        <v>8</v>
      </c>
      <c r="C28" s="531"/>
      <c r="D28" s="299" t="s">
        <v>375</v>
      </c>
      <c r="E28" s="314" t="s">
        <v>152</v>
      </c>
      <c r="F28" s="290" t="s">
        <v>153</v>
      </c>
      <c r="G28" s="308"/>
      <c r="H28" s="308" t="s">
        <v>154</v>
      </c>
      <c r="I28" s="313" t="s">
        <v>115</v>
      </c>
      <c r="J28" s="79"/>
      <c r="K28" s="74"/>
      <c r="L28" s="79"/>
      <c r="M28" s="74"/>
      <c r="N28" s="74"/>
      <c r="O28" s="74"/>
      <c r="P28" s="74"/>
      <c r="Q28" s="74"/>
      <c r="R28" s="74"/>
      <c r="S28" s="74"/>
      <c r="T28" s="74"/>
      <c r="U28" s="74"/>
      <c r="V28" s="8">
        <v>1</v>
      </c>
      <c r="W28" s="74"/>
      <c r="X28" s="80"/>
      <c r="Y28" s="286"/>
      <c r="Z28" s="286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3">
        <v>1</v>
      </c>
      <c r="AL28" s="74"/>
      <c r="AM28" s="80"/>
      <c r="AN28" s="286"/>
      <c r="AO28" s="286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8">
        <v>0.99</v>
      </c>
      <c r="BA28" s="74"/>
      <c r="BB28" s="80"/>
      <c r="BC28" s="286"/>
      <c r="BD28" s="286"/>
      <c r="BE28" s="74"/>
      <c r="BF28" s="74"/>
      <c r="BG28" s="74"/>
      <c r="BH28" s="74"/>
      <c r="BI28" s="74"/>
      <c r="BJ28" s="74"/>
      <c r="BK28" s="74"/>
      <c r="BL28" s="284"/>
      <c r="BM28" s="101"/>
      <c r="BN28" s="99"/>
      <c r="BO28" s="103"/>
      <c r="BP28" s="253"/>
      <c r="BQ28" s="284"/>
    </row>
    <row r="29" spans="2:69" s="2" customFormat="1" ht="39.950000000000003" customHeight="1" x14ac:dyDescent="0.2">
      <c r="B29" s="318">
        <v>9</v>
      </c>
      <c r="C29" s="531"/>
      <c r="D29" s="299" t="s">
        <v>155</v>
      </c>
      <c r="E29" s="314" t="s">
        <v>156</v>
      </c>
      <c r="F29" s="290" t="s">
        <v>157</v>
      </c>
      <c r="G29" s="308"/>
      <c r="H29" s="308" t="s">
        <v>134</v>
      </c>
      <c r="I29" s="313" t="s">
        <v>79</v>
      </c>
      <c r="J29" s="79"/>
      <c r="K29" s="74"/>
      <c r="L29" s="118">
        <v>1</v>
      </c>
      <c r="M29" s="74"/>
      <c r="N29" s="74"/>
      <c r="O29" s="74"/>
      <c r="P29" s="74"/>
      <c r="Q29" s="112">
        <v>1</v>
      </c>
      <c r="R29" s="74"/>
      <c r="S29" s="74"/>
      <c r="T29" s="74"/>
      <c r="U29" s="74"/>
      <c r="V29" s="112">
        <v>1</v>
      </c>
      <c r="W29" s="74"/>
      <c r="X29" s="80"/>
      <c r="Y29" s="286"/>
      <c r="Z29" s="286"/>
      <c r="AA29" s="112">
        <v>1</v>
      </c>
      <c r="AB29" s="286"/>
      <c r="AC29" s="287"/>
      <c r="AD29" s="79"/>
      <c r="AE29" s="74"/>
      <c r="AF29" s="112">
        <v>1</v>
      </c>
      <c r="AG29" s="80"/>
      <c r="AH29" s="10"/>
      <c r="AI29" s="9"/>
      <c r="AJ29" s="75"/>
      <c r="AK29" s="75">
        <v>1</v>
      </c>
      <c r="AL29" s="8"/>
      <c r="AM29" s="23"/>
      <c r="AN29" s="79"/>
      <c r="AO29" s="74"/>
      <c r="AP29" s="112">
        <v>1</v>
      </c>
      <c r="AQ29" s="74"/>
      <c r="AR29" s="287"/>
      <c r="AS29" s="288"/>
      <c r="AT29" s="286"/>
      <c r="AU29" s="112">
        <v>1</v>
      </c>
      <c r="AV29" s="286"/>
      <c r="AW29" s="287"/>
      <c r="AX29" s="79"/>
      <c r="AY29" s="286"/>
      <c r="AZ29" s="112">
        <v>1</v>
      </c>
      <c r="BA29" s="74"/>
      <c r="BB29" s="287"/>
      <c r="BC29" s="288"/>
      <c r="BD29" s="74"/>
      <c r="BE29" s="112"/>
      <c r="BF29" s="74"/>
      <c r="BG29" s="287"/>
      <c r="BH29" s="79"/>
      <c r="BI29" s="74"/>
      <c r="BJ29" s="112"/>
      <c r="BK29" s="112"/>
      <c r="BL29" s="112"/>
      <c r="BM29" s="101"/>
      <c r="BN29" s="99"/>
      <c r="BO29" s="119"/>
      <c r="BP29" s="253"/>
      <c r="BQ29" s="284"/>
    </row>
    <row r="30" spans="2:69" s="2" customFormat="1" ht="42" customHeight="1" x14ac:dyDescent="0.2">
      <c r="B30" s="319">
        <v>10</v>
      </c>
      <c r="C30" s="531"/>
      <c r="D30" s="299" t="s">
        <v>158</v>
      </c>
      <c r="E30" s="314" t="s">
        <v>159</v>
      </c>
      <c r="F30" s="290" t="s">
        <v>160</v>
      </c>
      <c r="G30" s="308"/>
      <c r="H30" s="308" t="s">
        <v>143</v>
      </c>
      <c r="I30" s="313" t="s">
        <v>151</v>
      </c>
      <c r="J30" s="79"/>
      <c r="K30" s="74"/>
      <c r="L30" s="79"/>
      <c r="M30" s="74"/>
      <c r="N30" s="359"/>
      <c r="O30" s="360"/>
      <c r="P30" s="361"/>
      <c r="Q30" s="361">
        <v>1</v>
      </c>
      <c r="R30" s="361"/>
      <c r="S30" s="362"/>
      <c r="T30" s="79"/>
      <c r="U30" s="74"/>
      <c r="V30" s="74"/>
      <c r="W30" s="74"/>
      <c r="X30" s="80"/>
      <c r="Y30" s="363"/>
      <c r="Z30" s="357"/>
      <c r="AA30" s="357">
        <v>1</v>
      </c>
      <c r="AB30" s="357"/>
      <c r="AC30" s="364"/>
      <c r="AD30" s="79"/>
      <c r="AE30" s="74"/>
      <c r="AF30" s="365"/>
      <c r="AG30" s="358"/>
      <c r="AH30" s="8"/>
      <c r="AI30" s="8"/>
      <c r="AJ30" s="8"/>
      <c r="AK30" s="8">
        <v>1</v>
      </c>
      <c r="AL30" s="73"/>
      <c r="AM30" s="96"/>
      <c r="AN30" s="79"/>
      <c r="AO30" s="74"/>
      <c r="AP30" s="365"/>
      <c r="AQ30" s="74"/>
      <c r="AR30" s="364"/>
      <c r="AS30" s="371"/>
      <c r="AT30" s="357"/>
      <c r="AU30" s="357">
        <v>1</v>
      </c>
      <c r="AV30" s="357"/>
      <c r="AW30" s="364"/>
      <c r="AX30" s="79"/>
      <c r="AY30" s="357"/>
      <c r="AZ30" s="74"/>
      <c r="BA30" s="74"/>
      <c r="BB30" s="364"/>
      <c r="BC30" s="371"/>
      <c r="BD30" s="74"/>
      <c r="BE30" s="357"/>
      <c r="BF30" s="74"/>
      <c r="BG30" s="364"/>
      <c r="BH30" s="79"/>
      <c r="BI30" s="74"/>
      <c r="BJ30" s="74"/>
      <c r="BK30" s="74"/>
      <c r="BL30" s="100"/>
      <c r="BM30" s="282"/>
      <c r="BN30" s="283"/>
      <c r="BO30" s="100"/>
      <c r="BP30" s="254"/>
      <c r="BQ30" s="80"/>
    </row>
    <row r="31" spans="2:69" s="2" customFormat="1" ht="45" customHeight="1" thickBot="1" x14ac:dyDescent="0.25">
      <c r="B31" s="320">
        <v>11</v>
      </c>
      <c r="C31" s="532"/>
      <c r="D31" s="302" t="s">
        <v>161</v>
      </c>
      <c r="E31" s="321" t="s">
        <v>162</v>
      </c>
      <c r="F31" s="297" t="s">
        <v>163</v>
      </c>
      <c r="G31" s="322" t="s">
        <v>143</v>
      </c>
      <c r="H31" s="322" t="s">
        <v>143</v>
      </c>
      <c r="I31" s="323" t="s">
        <v>164</v>
      </c>
      <c r="J31" s="221"/>
      <c r="K31" s="81"/>
      <c r="L31" s="381"/>
      <c r="M31" s="382"/>
      <c r="N31" s="382"/>
      <c r="O31" s="381"/>
      <c r="P31" s="382"/>
      <c r="Q31" s="382"/>
      <c r="R31" s="382"/>
      <c r="S31" s="383"/>
      <c r="T31" s="381"/>
      <c r="U31" s="382"/>
      <c r="V31" s="382"/>
      <c r="W31" s="382"/>
      <c r="X31" s="383"/>
      <c r="Y31" s="382"/>
      <c r="Z31" s="382"/>
      <c r="AA31" s="382"/>
      <c r="AB31" s="382"/>
      <c r="AC31" s="383"/>
      <c r="AD31" s="381"/>
      <c r="AE31" s="382"/>
      <c r="AF31" s="384"/>
      <c r="AG31" s="82"/>
      <c r="AH31" s="385"/>
      <c r="AI31" s="386"/>
      <c r="AJ31" s="250"/>
      <c r="AK31" s="250">
        <v>1</v>
      </c>
      <c r="AL31" s="387"/>
      <c r="AM31" s="388"/>
      <c r="AN31" s="221"/>
      <c r="AO31" s="81"/>
      <c r="AP31" s="389"/>
      <c r="AQ31" s="382"/>
      <c r="AR31" s="383"/>
      <c r="AS31" s="381"/>
      <c r="AT31" s="382"/>
      <c r="AU31" s="382"/>
      <c r="AV31" s="382"/>
      <c r="AW31" s="383"/>
      <c r="AX31" s="381"/>
      <c r="AY31" s="382"/>
      <c r="AZ31" s="382"/>
      <c r="BA31" s="382"/>
      <c r="BB31" s="383"/>
      <c r="BC31" s="381"/>
      <c r="BD31" s="382"/>
      <c r="BE31" s="382"/>
      <c r="BF31" s="382"/>
      <c r="BG31" s="383"/>
      <c r="BH31" s="381"/>
      <c r="BI31" s="382"/>
      <c r="BJ31" s="384"/>
      <c r="BK31" s="81"/>
      <c r="BL31" s="82"/>
      <c r="BM31" s="88"/>
      <c r="BN31" s="390"/>
      <c r="BO31" s="420"/>
      <c r="BP31" s="254"/>
      <c r="BQ31" s="80"/>
    </row>
    <row r="32" spans="2:69" s="2" customFormat="1" ht="45" customHeight="1" x14ac:dyDescent="0.2">
      <c r="B32" s="324">
        <v>1</v>
      </c>
      <c r="C32" s="537" t="s">
        <v>165</v>
      </c>
      <c r="D32" s="303" t="s">
        <v>166</v>
      </c>
      <c r="E32" s="325" t="s">
        <v>167</v>
      </c>
      <c r="F32" s="294" t="s">
        <v>168</v>
      </c>
      <c r="G32" s="306" t="s">
        <v>169</v>
      </c>
      <c r="H32" s="306" t="s">
        <v>143</v>
      </c>
      <c r="I32" s="317" t="s">
        <v>115</v>
      </c>
      <c r="J32" s="410"/>
      <c r="K32" s="411"/>
      <c r="L32" s="410"/>
      <c r="M32" s="411"/>
      <c r="N32" s="411"/>
      <c r="O32" s="410"/>
      <c r="P32" s="411"/>
      <c r="Q32" s="411"/>
      <c r="R32" s="411"/>
      <c r="S32" s="379"/>
      <c r="T32" s="410"/>
      <c r="U32" s="411"/>
      <c r="V32" s="421">
        <v>0.81</v>
      </c>
      <c r="W32" s="411"/>
      <c r="X32" s="379"/>
      <c r="Y32" s="411"/>
      <c r="Z32" s="411"/>
      <c r="AA32" s="411"/>
      <c r="AB32" s="411"/>
      <c r="AC32" s="411"/>
      <c r="AD32" s="410"/>
      <c r="AE32" s="411"/>
      <c r="AF32" s="411"/>
      <c r="AG32" s="411"/>
      <c r="AH32" s="379"/>
      <c r="AI32" s="410"/>
      <c r="AJ32" s="411"/>
      <c r="AK32" s="421">
        <v>0.9</v>
      </c>
      <c r="AL32" s="421"/>
      <c r="AM32" s="422"/>
      <c r="AN32" s="410"/>
      <c r="AO32" s="411"/>
      <c r="AP32" s="411"/>
      <c r="AQ32" s="411"/>
      <c r="AR32" s="411"/>
      <c r="AS32" s="410"/>
      <c r="AT32" s="411"/>
      <c r="AU32" s="411"/>
      <c r="AV32" s="411"/>
      <c r="AW32" s="379"/>
      <c r="AX32" s="410"/>
      <c r="AY32" s="411"/>
      <c r="AZ32" s="421">
        <v>0.9</v>
      </c>
      <c r="BA32" s="421"/>
      <c r="BB32" s="423"/>
      <c r="BC32" s="410"/>
      <c r="BD32" s="411"/>
      <c r="BE32" s="411"/>
      <c r="BF32" s="411"/>
      <c r="BG32" s="411"/>
      <c r="BH32" s="410"/>
      <c r="BI32" s="411"/>
      <c r="BJ32" s="411"/>
      <c r="BK32" s="411"/>
      <c r="BL32" s="379"/>
      <c r="BM32" s="410"/>
      <c r="BN32" s="411"/>
      <c r="BO32" s="424"/>
      <c r="BP32" s="255"/>
      <c r="BQ32" s="255"/>
    </row>
    <row r="33" spans="2:69" s="2" customFormat="1" ht="57" customHeight="1" x14ac:dyDescent="0.2">
      <c r="B33" s="326">
        <v>2</v>
      </c>
      <c r="C33" s="538"/>
      <c r="D33" s="304" t="s">
        <v>170</v>
      </c>
      <c r="E33" s="327" t="s">
        <v>171</v>
      </c>
      <c r="F33" s="291" t="s">
        <v>172</v>
      </c>
      <c r="G33" s="328">
        <v>1</v>
      </c>
      <c r="H33" s="328">
        <v>0.8</v>
      </c>
      <c r="I33" s="313" t="s">
        <v>115</v>
      </c>
      <c r="J33" s="79"/>
      <c r="K33" s="74"/>
      <c r="L33" s="368"/>
      <c r="M33" s="367"/>
      <c r="N33" s="367"/>
      <c r="O33" s="368"/>
      <c r="P33" s="367"/>
      <c r="Q33" s="367"/>
      <c r="R33" s="367"/>
      <c r="S33" s="369"/>
      <c r="T33" s="368"/>
      <c r="U33" s="367"/>
      <c r="V33" s="8">
        <v>0.84</v>
      </c>
      <c r="W33" s="367"/>
      <c r="X33" s="369"/>
      <c r="Y33" s="367"/>
      <c r="Z33" s="367"/>
      <c r="AA33" s="367"/>
      <c r="AB33" s="367"/>
      <c r="AC33" s="367"/>
      <c r="AD33" s="368"/>
      <c r="AE33" s="367"/>
      <c r="AF33" s="367"/>
      <c r="AG33" s="367"/>
      <c r="AH33" s="369"/>
      <c r="AI33" s="368"/>
      <c r="AJ33" s="367"/>
      <c r="AK33" s="8">
        <v>0.85</v>
      </c>
      <c r="AL33" s="8"/>
      <c r="AM33" s="69"/>
      <c r="AN33" s="368"/>
      <c r="AO33" s="367"/>
      <c r="AP33" s="367"/>
      <c r="AQ33" s="367"/>
      <c r="AR33" s="367"/>
      <c r="AS33" s="368"/>
      <c r="AT33" s="367"/>
      <c r="AU33" s="367"/>
      <c r="AV33" s="367"/>
      <c r="AW33" s="369"/>
      <c r="AX33" s="368"/>
      <c r="AY33" s="367"/>
      <c r="AZ33" s="8">
        <v>0.8</v>
      </c>
      <c r="BA33" s="8"/>
      <c r="BB33" s="70"/>
      <c r="BC33" s="368"/>
      <c r="BD33" s="367"/>
      <c r="BE33" s="367"/>
      <c r="BF33" s="367"/>
      <c r="BG33" s="367"/>
      <c r="BH33" s="368"/>
      <c r="BI33" s="367"/>
      <c r="BJ33" s="367"/>
      <c r="BK33" s="367"/>
      <c r="BL33" s="369"/>
      <c r="BM33" s="368"/>
      <c r="BN33" s="367"/>
      <c r="BO33" s="10"/>
      <c r="BP33" s="255"/>
      <c r="BQ33" s="255"/>
    </row>
    <row r="34" spans="2:69" s="2" customFormat="1" ht="45" customHeight="1" x14ac:dyDescent="0.2">
      <c r="B34" s="329">
        <v>3</v>
      </c>
      <c r="C34" s="538"/>
      <c r="D34" s="304" t="s">
        <v>173</v>
      </c>
      <c r="E34" s="327" t="s">
        <v>174</v>
      </c>
      <c r="F34" s="291" t="s">
        <v>175</v>
      </c>
      <c r="G34" s="308" t="s">
        <v>176</v>
      </c>
      <c r="H34" s="312" t="s">
        <v>388</v>
      </c>
      <c r="I34" s="313" t="s">
        <v>115</v>
      </c>
      <c r="J34" s="79"/>
      <c r="K34" s="74"/>
      <c r="L34" s="368"/>
      <c r="M34" s="367"/>
      <c r="N34" s="367"/>
      <c r="O34" s="368"/>
      <c r="P34" s="367"/>
      <c r="Q34" s="367"/>
      <c r="R34" s="367"/>
      <c r="S34" s="369"/>
      <c r="T34" s="368"/>
      <c r="U34" s="367"/>
      <c r="V34" s="98">
        <v>1.2800000000000001E-2</v>
      </c>
      <c r="W34" s="367"/>
      <c r="X34" s="369"/>
      <c r="Y34" s="367"/>
      <c r="Z34" s="367"/>
      <c r="AA34" s="367"/>
      <c r="AB34" s="367"/>
      <c r="AC34" s="367"/>
      <c r="AD34" s="368"/>
      <c r="AE34" s="367"/>
      <c r="AF34" s="367"/>
      <c r="AG34" s="367"/>
      <c r="AH34" s="369"/>
      <c r="AI34" s="368"/>
      <c r="AJ34" s="367"/>
      <c r="AK34" s="98">
        <v>1.2E-2</v>
      </c>
      <c r="AL34" s="8"/>
      <c r="AM34" s="69"/>
      <c r="AN34" s="368"/>
      <c r="AO34" s="367"/>
      <c r="AP34" s="367"/>
      <c r="AQ34" s="367"/>
      <c r="AR34" s="367"/>
      <c r="AS34" s="368"/>
      <c r="AT34" s="367"/>
      <c r="AU34" s="367"/>
      <c r="AV34" s="367"/>
      <c r="AW34" s="369"/>
      <c r="AX34" s="368"/>
      <c r="AY34" s="367"/>
      <c r="AZ34" s="98">
        <v>1.2500000000000001E-2</v>
      </c>
      <c r="BA34" s="8"/>
      <c r="BB34" s="70"/>
      <c r="BC34" s="368"/>
      <c r="BD34" s="367"/>
      <c r="BE34" s="367"/>
      <c r="BF34" s="367"/>
      <c r="BG34" s="367"/>
      <c r="BH34" s="368"/>
      <c r="BI34" s="367"/>
      <c r="BJ34" s="367"/>
      <c r="BK34" s="367"/>
      <c r="BL34" s="369"/>
      <c r="BM34" s="368"/>
      <c r="BN34" s="367"/>
      <c r="BO34" s="10"/>
      <c r="BP34" s="255"/>
      <c r="BQ34" s="255"/>
    </row>
    <row r="35" spans="2:69" s="2" customFormat="1" ht="45" customHeight="1" x14ac:dyDescent="0.2">
      <c r="B35" s="326">
        <v>4</v>
      </c>
      <c r="C35" s="538"/>
      <c r="D35" s="304" t="s">
        <v>178</v>
      </c>
      <c r="E35" s="327" t="s">
        <v>179</v>
      </c>
      <c r="F35" s="291" t="s">
        <v>180</v>
      </c>
      <c r="G35" s="308" t="s">
        <v>176</v>
      </c>
      <c r="H35" s="312" t="s">
        <v>388</v>
      </c>
      <c r="I35" s="313" t="s">
        <v>115</v>
      </c>
      <c r="J35" s="79"/>
      <c r="K35" s="74"/>
      <c r="L35" s="79"/>
      <c r="M35" s="74"/>
      <c r="N35" s="74"/>
      <c r="O35" s="79"/>
      <c r="P35" s="74"/>
      <c r="Q35" s="74"/>
      <c r="R35" s="74"/>
      <c r="S35" s="80"/>
      <c r="T35" s="79"/>
      <c r="U35" s="74"/>
      <c r="V35" s="283">
        <v>1.3100000000000001E-2</v>
      </c>
      <c r="W35" s="74"/>
      <c r="X35" s="80"/>
      <c r="Y35" s="74"/>
      <c r="Z35" s="74"/>
      <c r="AA35" s="74"/>
      <c r="AB35" s="74"/>
      <c r="AC35" s="74"/>
      <c r="AD35" s="79"/>
      <c r="AE35" s="74"/>
      <c r="AF35" s="74"/>
      <c r="AG35" s="74"/>
      <c r="AH35" s="80"/>
      <c r="AI35" s="79"/>
      <c r="AJ35" s="74"/>
      <c r="AK35" s="283">
        <v>1.2999999999999999E-2</v>
      </c>
      <c r="AL35" s="357"/>
      <c r="AM35" s="373"/>
      <c r="AN35" s="79"/>
      <c r="AO35" s="74"/>
      <c r="AP35" s="74"/>
      <c r="AQ35" s="74"/>
      <c r="AR35" s="74"/>
      <c r="AS35" s="79"/>
      <c r="AT35" s="74"/>
      <c r="AU35" s="367"/>
      <c r="AV35" s="74"/>
      <c r="AW35" s="80"/>
      <c r="AX35" s="79"/>
      <c r="AY35" s="74"/>
      <c r="AZ35" s="283">
        <v>1.26E-2</v>
      </c>
      <c r="BA35" s="357"/>
      <c r="BB35" s="372"/>
      <c r="BC35" s="79"/>
      <c r="BD35" s="74"/>
      <c r="BE35" s="74"/>
      <c r="BF35" s="74"/>
      <c r="BG35" s="74"/>
      <c r="BH35" s="79"/>
      <c r="BI35" s="74"/>
      <c r="BJ35" s="74"/>
      <c r="BK35" s="74"/>
      <c r="BL35" s="80"/>
      <c r="BM35" s="79"/>
      <c r="BN35" s="74"/>
      <c r="BO35" s="364"/>
      <c r="BP35" s="255"/>
      <c r="BQ35" s="255"/>
    </row>
    <row r="36" spans="2:69" s="2" customFormat="1" ht="45" customHeight="1" x14ac:dyDescent="0.2">
      <c r="B36" s="329">
        <v>5</v>
      </c>
      <c r="C36" s="538"/>
      <c r="D36" s="304" t="s">
        <v>181</v>
      </c>
      <c r="E36" s="327" t="s">
        <v>182</v>
      </c>
      <c r="F36" s="291" t="s">
        <v>183</v>
      </c>
      <c r="G36" s="308" t="s">
        <v>184</v>
      </c>
      <c r="H36" s="308" t="s">
        <v>389</v>
      </c>
      <c r="I36" s="313" t="s">
        <v>115</v>
      </c>
      <c r="J36" s="79"/>
      <c r="K36" s="74"/>
      <c r="L36" s="368"/>
      <c r="M36" s="367"/>
      <c r="N36" s="367"/>
      <c r="O36" s="368"/>
      <c r="P36" s="367"/>
      <c r="Q36" s="367"/>
      <c r="R36" s="367"/>
      <c r="S36" s="369"/>
      <c r="T36" s="368"/>
      <c r="U36" s="367"/>
      <c r="V36" s="98">
        <v>1.2500000000000001E-2</v>
      </c>
      <c r="W36" s="367"/>
      <c r="X36" s="369"/>
      <c r="Y36" s="367"/>
      <c r="Z36" s="367"/>
      <c r="AA36" s="367"/>
      <c r="AB36" s="367"/>
      <c r="AC36" s="367"/>
      <c r="AD36" s="368"/>
      <c r="AE36" s="367"/>
      <c r="AF36" s="367"/>
      <c r="AG36" s="367"/>
      <c r="AH36" s="369"/>
      <c r="AI36" s="368"/>
      <c r="AJ36" s="367"/>
      <c r="AK36" s="84">
        <v>1.4999999999999999E-2</v>
      </c>
      <c r="AL36" s="8"/>
      <c r="AM36" s="69"/>
      <c r="AN36" s="368"/>
      <c r="AO36" s="367"/>
      <c r="AP36" s="367"/>
      <c r="AQ36" s="367"/>
      <c r="AR36" s="367"/>
      <c r="AS36" s="368"/>
      <c r="AT36" s="367"/>
      <c r="AU36" s="367"/>
      <c r="AV36" s="367"/>
      <c r="AW36" s="369"/>
      <c r="AX36" s="368"/>
      <c r="AY36" s="367"/>
      <c r="AZ36" s="98">
        <v>1.15E-2</v>
      </c>
      <c r="BA36" s="8"/>
      <c r="BB36" s="70"/>
      <c r="BC36" s="368"/>
      <c r="BD36" s="367"/>
      <c r="BE36" s="367"/>
      <c r="BF36" s="367"/>
      <c r="BG36" s="367"/>
      <c r="BH36" s="368"/>
      <c r="BI36" s="367"/>
      <c r="BJ36" s="367"/>
      <c r="BK36" s="367"/>
      <c r="BL36" s="369"/>
      <c r="BM36" s="368"/>
      <c r="BN36" s="367"/>
      <c r="BO36" s="10"/>
      <c r="BP36" s="255"/>
      <c r="BQ36" s="255"/>
    </row>
    <row r="37" spans="2:69" s="2" customFormat="1" ht="45" customHeight="1" x14ac:dyDescent="0.2">
      <c r="B37" s="326">
        <v>6</v>
      </c>
      <c r="C37" s="538"/>
      <c r="D37" s="304" t="s">
        <v>186</v>
      </c>
      <c r="E37" s="327" t="s">
        <v>187</v>
      </c>
      <c r="F37" s="291" t="s">
        <v>188</v>
      </c>
      <c r="G37" s="328">
        <v>1</v>
      </c>
      <c r="H37" s="308" t="s">
        <v>143</v>
      </c>
      <c r="I37" s="313" t="s">
        <v>115</v>
      </c>
      <c r="J37" s="79"/>
      <c r="K37" s="74"/>
      <c r="L37" s="79"/>
      <c r="M37" s="74"/>
      <c r="N37" s="74"/>
      <c r="O37" s="79"/>
      <c r="P37" s="74"/>
      <c r="Q37" s="74"/>
      <c r="R37" s="74"/>
      <c r="S37" s="80"/>
      <c r="T37" s="79"/>
      <c r="U37" s="74"/>
      <c r="V37" s="8">
        <v>1</v>
      </c>
      <c r="W37" s="74"/>
      <c r="X37" s="80"/>
      <c r="Y37" s="74"/>
      <c r="Z37" s="74"/>
      <c r="AA37" s="74"/>
      <c r="AB37" s="74"/>
      <c r="AC37" s="74"/>
      <c r="AD37" s="79"/>
      <c r="AE37" s="74"/>
      <c r="AF37" s="74"/>
      <c r="AG37" s="74"/>
      <c r="AH37" s="80"/>
      <c r="AI37" s="79"/>
      <c r="AJ37" s="74"/>
      <c r="AK37" s="8">
        <v>1</v>
      </c>
      <c r="AL37" s="357"/>
      <c r="AM37" s="373"/>
      <c r="AN37" s="79"/>
      <c r="AO37" s="74"/>
      <c r="AP37" s="74"/>
      <c r="AQ37" s="74"/>
      <c r="AR37" s="74"/>
      <c r="AS37" s="79"/>
      <c r="AT37" s="74"/>
      <c r="AU37" s="74"/>
      <c r="AV37" s="74"/>
      <c r="AW37" s="80"/>
      <c r="AX37" s="79"/>
      <c r="AY37" s="74"/>
      <c r="AZ37" s="8">
        <v>1</v>
      </c>
      <c r="BA37" s="357"/>
      <c r="BB37" s="372"/>
      <c r="BC37" s="79"/>
      <c r="BD37" s="74"/>
      <c r="BE37" s="74"/>
      <c r="BF37" s="74"/>
      <c r="BG37" s="74"/>
      <c r="BH37" s="79"/>
      <c r="BI37" s="74"/>
      <c r="BJ37" s="74"/>
      <c r="BK37" s="74"/>
      <c r="BL37" s="80"/>
      <c r="BM37" s="79"/>
      <c r="BN37" s="74"/>
      <c r="BO37" s="364"/>
      <c r="BP37" s="255"/>
      <c r="BQ37" s="255"/>
    </row>
    <row r="38" spans="2:69" s="2" customFormat="1" ht="51.75" hidden="1" customHeight="1" x14ac:dyDescent="0.2">
      <c r="B38" s="329">
        <v>7</v>
      </c>
      <c r="C38" s="538"/>
      <c r="D38" s="304" t="s">
        <v>189</v>
      </c>
      <c r="E38" s="327" t="s">
        <v>190</v>
      </c>
      <c r="F38" s="291" t="s">
        <v>191</v>
      </c>
      <c r="G38" s="328">
        <v>1</v>
      </c>
      <c r="H38" s="308" t="s">
        <v>143</v>
      </c>
      <c r="I38" s="313" t="s">
        <v>115</v>
      </c>
      <c r="J38" s="79"/>
      <c r="K38" s="74"/>
      <c r="L38" s="368"/>
      <c r="M38" s="367"/>
      <c r="N38" s="367"/>
      <c r="O38" s="368"/>
      <c r="P38" s="367"/>
      <c r="Q38" s="367"/>
      <c r="R38" s="367"/>
      <c r="S38" s="369"/>
      <c r="T38" s="368"/>
      <c r="U38" s="367"/>
      <c r="V38" s="8"/>
      <c r="W38" s="367"/>
      <c r="X38" s="369"/>
      <c r="Y38" s="367"/>
      <c r="Z38" s="367"/>
      <c r="AA38" s="367"/>
      <c r="AB38" s="367"/>
      <c r="AC38" s="367"/>
      <c r="AD38" s="368"/>
      <c r="AE38" s="367"/>
      <c r="AF38" s="367"/>
      <c r="AG38" s="367"/>
      <c r="AH38" s="369"/>
      <c r="AI38" s="368"/>
      <c r="AJ38" s="367"/>
      <c r="AK38" s="8"/>
      <c r="AL38" s="8"/>
      <c r="AM38" s="69"/>
      <c r="AN38" s="368"/>
      <c r="AO38" s="367"/>
      <c r="AP38" s="367"/>
      <c r="AQ38" s="367"/>
      <c r="AR38" s="367"/>
      <c r="AS38" s="368"/>
      <c r="AT38" s="367"/>
      <c r="AU38" s="367"/>
      <c r="AV38" s="367"/>
      <c r="AW38" s="369"/>
      <c r="AX38" s="368"/>
      <c r="AY38" s="367"/>
      <c r="AZ38" s="8"/>
      <c r="BA38" s="8"/>
      <c r="BB38" s="70"/>
      <c r="BC38" s="368"/>
      <c r="BD38" s="367"/>
      <c r="BE38" s="367"/>
      <c r="BF38" s="367"/>
      <c r="BG38" s="367"/>
      <c r="BH38" s="368"/>
      <c r="BI38" s="367"/>
      <c r="BJ38" s="367"/>
      <c r="BK38" s="367"/>
      <c r="BL38" s="369"/>
      <c r="BM38" s="368"/>
      <c r="BN38" s="367"/>
      <c r="BO38" s="10"/>
      <c r="BP38" s="80"/>
      <c r="BQ38" s="80"/>
    </row>
    <row r="39" spans="2:69" s="2" customFormat="1" ht="45" customHeight="1" x14ac:dyDescent="0.2">
      <c r="B39" s="326">
        <v>8</v>
      </c>
      <c r="C39" s="538"/>
      <c r="D39" s="304" t="s">
        <v>192</v>
      </c>
      <c r="E39" s="327" t="s">
        <v>193</v>
      </c>
      <c r="F39" s="291" t="s">
        <v>194</v>
      </c>
      <c r="G39" s="328">
        <v>1</v>
      </c>
      <c r="H39" s="308" t="s">
        <v>143</v>
      </c>
      <c r="I39" s="313" t="s">
        <v>115</v>
      </c>
      <c r="J39" s="79"/>
      <c r="K39" s="74"/>
      <c r="L39" s="79"/>
      <c r="M39" s="74"/>
      <c r="N39" s="74"/>
      <c r="O39" s="79"/>
      <c r="P39" s="74"/>
      <c r="Q39" s="74"/>
      <c r="R39" s="74"/>
      <c r="S39" s="80"/>
      <c r="T39" s="79"/>
      <c r="U39" s="74"/>
      <c r="V39" s="357">
        <v>1</v>
      </c>
      <c r="W39" s="74"/>
      <c r="X39" s="80"/>
      <c r="Y39" s="74"/>
      <c r="Z39" s="74"/>
      <c r="AA39" s="74"/>
      <c r="AB39" s="74"/>
      <c r="AC39" s="74"/>
      <c r="AD39" s="79"/>
      <c r="AE39" s="74"/>
      <c r="AF39" s="74"/>
      <c r="AG39" s="74"/>
      <c r="AH39" s="80"/>
      <c r="AI39" s="79"/>
      <c r="AJ39" s="74"/>
      <c r="AK39" s="357">
        <v>1</v>
      </c>
      <c r="AL39" s="357"/>
      <c r="AM39" s="373"/>
      <c r="AN39" s="79"/>
      <c r="AO39" s="74"/>
      <c r="AP39" s="74"/>
      <c r="AQ39" s="74"/>
      <c r="AR39" s="74"/>
      <c r="AS39" s="79"/>
      <c r="AT39" s="74"/>
      <c r="AU39" s="74"/>
      <c r="AV39" s="74"/>
      <c r="AW39" s="80"/>
      <c r="AX39" s="79"/>
      <c r="AY39" s="74"/>
      <c r="AZ39" s="357">
        <v>1</v>
      </c>
      <c r="BA39" s="357"/>
      <c r="BB39" s="372"/>
      <c r="BC39" s="79"/>
      <c r="BD39" s="74"/>
      <c r="BE39" s="74"/>
      <c r="BF39" s="74"/>
      <c r="BG39" s="74"/>
      <c r="BH39" s="79"/>
      <c r="BI39" s="74"/>
      <c r="BJ39" s="74"/>
      <c r="BK39" s="74"/>
      <c r="BL39" s="80"/>
      <c r="BM39" s="79"/>
      <c r="BN39" s="74"/>
      <c r="BO39" s="364"/>
      <c r="BP39" s="255"/>
      <c r="BQ39" s="255"/>
    </row>
    <row r="40" spans="2:69" s="2" customFormat="1" ht="45" customHeight="1" x14ac:dyDescent="0.2">
      <c r="B40" s="329">
        <v>9</v>
      </c>
      <c r="C40" s="538"/>
      <c r="D40" s="304" t="s">
        <v>195</v>
      </c>
      <c r="E40" s="327" t="s">
        <v>196</v>
      </c>
      <c r="F40" s="291" t="s">
        <v>197</v>
      </c>
      <c r="G40" s="328">
        <v>1</v>
      </c>
      <c r="H40" s="308" t="s">
        <v>143</v>
      </c>
      <c r="I40" s="313" t="s">
        <v>115</v>
      </c>
      <c r="J40" s="79"/>
      <c r="K40" s="74"/>
      <c r="L40" s="368"/>
      <c r="M40" s="367"/>
      <c r="N40" s="367"/>
      <c r="O40" s="368"/>
      <c r="P40" s="367"/>
      <c r="Q40" s="367"/>
      <c r="R40" s="367"/>
      <c r="S40" s="369"/>
      <c r="T40" s="368"/>
      <c r="U40" s="367"/>
      <c r="V40" s="8">
        <v>0.9</v>
      </c>
      <c r="W40" s="367"/>
      <c r="X40" s="369"/>
      <c r="Y40" s="367"/>
      <c r="Z40" s="367"/>
      <c r="AA40" s="367"/>
      <c r="AB40" s="367"/>
      <c r="AC40" s="367"/>
      <c r="AD40" s="368"/>
      <c r="AE40" s="367"/>
      <c r="AF40" s="367"/>
      <c r="AG40" s="367"/>
      <c r="AH40" s="369"/>
      <c r="AI40" s="368"/>
      <c r="AJ40" s="367"/>
      <c r="AK40" s="8">
        <v>0.9</v>
      </c>
      <c r="AL40" s="8"/>
      <c r="AM40" s="69"/>
      <c r="AN40" s="368"/>
      <c r="AO40" s="367"/>
      <c r="AP40" s="367"/>
      <c r="AQ40" s="367"/>
      <c r="AR40" s="367"/>
      <c r="AS40" s="368"/>
      <c r="AT40" s="367"/>
      <c r="AU40" s="367"/>
      <c r="AV40" s="367"/>
      <c r="AW40" s="369"/>
      <c r="AX40" s="368"/>
      <c r="AY40" s="367"/>
      <c r="AZ40" s="8">
        <v>0.8</v>
      </c>
      <c r="BA40" s="8"/>
      <c r="BB40" s="70"/>
      <c r="BC40" s="368"/>
      <c r="BD40" s="367"/>
      <c r="BE40" s="367"/>
      <c r="BF40" s="367"/>
      <c r="BG40" s="367"/>
      <c r="BH40" s="368"/>
      <c r="BI40" s="367"/>
      <c r="BJ40" s="367"/>
      <c r="BK40" s="367"/>
      <c r="BL40" s="369"/>
      <c r="BM40" s="368"/>
      <c r="BN40" s="367"/>
      <c r="BO40" s="10"/>
      <c r="BP40" s="255"/>
      <c r="BQ40" s="255"/>
    </row>
    <row r="41" spans="2:69" s="2" customFormat="1" ht="55.5" customHeight="1" x14ac:dyDescent="0.2">
      <c r="B41" s="326">
        <v>10</v>
      </c>
      <c r="C41" s="538"/>
      <c r="D41" s="304" t="s">
        <v>198</v>
      </c>
      <c r="E41" s="327" t="s">
        <v>199</v>
      </c>
      <c r="F41" s="291" t="s">
        <v>200</v>
      </c>
      <c r="G41" s="308" t="s">
        <v>201</v>
      </c>
      <c r="H41" s="308" t="s">
        <v>202</v>
      </c>
      <c r="I41" s="313" t="s">
        <v>115</v>
      </c>
      <c r="J41" s="79"/>
      <c r="K41" s="74"/>
      <c r="L41" s="368"/>
      <c r="M41" s="367"/>
      <c r="N41" s="367"/>
      <c r="O41" s="368"/>
      <c r="P41" s="367"/>
      <c r="Q41" s="367"/>
      <c r="R41" s="367"/>
      <c r="S41" s="369"/>
      <c r="T41" s="368"/>
      <c r="U41" s="367"/>
      <c r="V41" s="8">
        <v>0.82</v>
      </c>
      <c r="W41" s="367"/>
      <c r="X41" s="369"/>
      <c r="Y41" s="367"/>
      <c r="Z41" s="367"/>
      <c r="AA41" s="367"/>
      <c r="AB41" s="367"/>
      <c r="AC41" s="367"/>
      <c r="AD41" s="368"/>
      <c r="AE41" s="367"/>
      <c r="AF41" s="367"/>
      <c r="AG41" s="367"/>
      <c r="AH41" s="369"/>
      <c r="AI41" s="368"/>
      <c r="AJ41" s="367"/>
      <c r="AK41" s="8">
        <v>0.84</v>
      </c>
      <c r="AL41" s="8"/>
      <c r="AM41" s="69"/>
      <c r="AN41" s="368"/>
      <c r="AO41" s="367"/>
      <c r="AP41" s="367"/>
      <c r="AQ41" s="367"/>
      <c r="AR41" s="367"/>
      <c r="AS41" s="368"/>
      <c r="AT41" s="367"/>
      <c r="AU41" s="367"/>
      <c r="AV41" s="367"/>
      <c r="AW41" s="369"/>
      <c r="AX41" s="368"/>
      <c r="AY41" s="367"/>
      <c r="AZ41" s="8">
        <v>0.85</v>
      </c>
      <c r="BA41" s="8"/>
      <c r="BB41" s="70"/>
      <c r="BC41" s="368"/>
      <c r="BD41" s="367"/>
      <c r="BE41" s="367"/>
      <c r="BF41" s="367"/>
      <c r="BG41" s="367"/>
      <c r="BH41" s="368"/>
      <c r="BI41" s="367"/>
      <c r="BJ41" s="367"/>
      <c r="BK41" s="367"/>
      <c r="BL41" s="369"/>
      <c r="BM41" s="368"/>
      <c r="BN41" s="367"/>
      <c r="BO41" s="10"/>
      <c r="BP41" s="255"/>
      <c r="BQ41" s="255"/>
    </row>
    <row r="42" spans="2:69" s="2" customFormat="1" ht="45" customHeight="1" x14ac:dyDescent="0.2">
      <c r="B42" s="329">
        <v>11</v>
      </c>
      <c r="C42" s="538"/>
      <c r="D42" s="304" t="s">
        <v>203</v>
      </c>
      <c r="E42" s="327" t="s">
        <v>204</v>
      </c>
      <c r="F42" s="291" t="s">
        <v>205</v>
      </c>
      <c r="G42" s="308" t="s">
        <v>206</v>
      </c>
      <c r="H42" s="308" t="s">
        <v>202</v>
      </c>
      <c r="I42" s="313" t="s">
        <v>115</v>
      </c>
      <c r="J42" s="79"/>
      <c r="K42" s="74"/>
      <c r="L42" s="79"/>
      <c r="M42" s="74"/>
      <c r="N42" s="74"/>
      <c r="O42" s="79"/>
      <c r="P42" s="74"/>
      <c r="Q42" s="74"/>
      <c r="R42" s="74"/>
      <c r="S42" s="80"/>
      <c r="T42" s="79"/>
      <c r="U42" s="74"/>
      <c r="V42" s="357">
        <v>0.8</v>
      </c>
      <c r="W42" s="74"/>
      <c r="X42" s="80"/>
      <c r="Y42" s="74"/>
      <c r="Z42" s="74"/>
      <c r="AA42" s="74"/>
      <c r="AB42" s="74"/>
      <c r="AC42" s="74"/>
      <c r="AD42" s="79"/>
      <c r="AE42" s="74"/>
      <c r="AF42" s="74"/>
      <c r="AG42" s="74"/>
      <c r="AH42" s="80"/>
      <c r="AI42" s="79"/>
      <c r="AJ42" s="74"/>
      <c r="AK42" s="357">
        <v>0.81</v>
      </c>
      <c r="AL42" s="357"/>
      <c r="AM42" s="373"/>
      <c r="AN42" s="79"/>
      <c r="AO42" s="74"/>
      <c r="AP42" s="74"/>
      <c r="AQ42" s="74"/>
      <c r="AR42" s="74"/>
      <c r="AS42" s="79"/>
      <c r="AT42" s="74"/>
      <c r="AU42" s="74"/>
      <c r="AV42" s="74"/>
      <c r="AW42" s="80"/>
      <c r="AX42" s="79"/>
      <c r="AY42" s="74"/>
      <c r="AZ42" s="357">
        <v>0.8</v>
      </c>
      <c r="BA42" s="357"/>
      <c r="BB42" s="372"/>
      <c r="BC42" s="79"/>
      <c r="BD42" s="74"/>
      <c r="BE42" s="74"/>
      <c r="BF42" s="74"/>
      <c r="BG42" s="74"/>
      <c r="BH42" s="79"/>
      <c r="BI42" s="74"/>
      <c r="BJ42" s="74"/>
      <c r="BK42" s="74"/>
      <c r="BL42" s="80"/>
      <c r="BM42" s="79"/>
      <c r="BN42" s="74"/>
      <c r="BO42" s="364"/>
      <c r="BP42" s="255"/>
      <c r="BQ42" s="255"/>
    </row>
    <row r="43" spans="2:69" s="2" customFormat="1" ht="77.099999999999994" customHeight="1" thickBot="1" x14ac:dyDescent="0.25">
      <c r="B43" s="330">
        <v>12</v>
      </c>
      <c r="C43" s="539"/>
      <c r="D43" s="480" t="s">
        <v>354</v>
      </c>
      <c r="E43" s="481" t="s">
        <v>208</v>
      </c>
      <c r="F43" s="482" t="s">
        <v>209</v>
      </c>
      <c r="G43" s="483"/>
      <c r="H43" s="483" t="s">
        <v>202</v>
      </c>
      <c r="I43" s="484" t="s">
        <v>115</v>
      </c>
      <c r="J43" s="221"/>
      <c r="K43" s="81"/>
      <c r="L43" s="381"/>
      <c r="M43" s="382"/>
      <c r="N43" s="382"/>
      <c r="O43" s="381"/>
      <c r="P43" s="382"/>
      <c r="Q43" s="382"/>
      <c r="R43" s="382"/>
      <c r="S43" s="383"/>
      <c r="T43" s="381"/>
      <c r="U43" s="382"/>
      <c r="V43" s="390">
        <v>0.83</v>
      </c>
      <c r="W43" s="382"/>
      <c r="X43" s="383"/>
      <c r="Y43" s="382"/>
      <c r="Z43" s="382"/>
      <c r="AA43" s="382"/>
      <c r="AB43" s="382"/>
      <c r="AC43" s="382"/>
      <c r="AD43" s="381"/>
      <c r="AE43" s="382"/>
      <c r="AF43" s="382"/>
      <c r="AG43" s="382"/>
      <c r="AH43" s="383"/>
      <c r="AI43" s="381"/>
      <c r="AJ43" s="382"/>
      <c r="AK43" s="250">
        <v>0.9</v>
      </c>
      <c r="AL43" s="250"/>
      <c r="AM43" s="425"/>
      <c r="AN43" s="381"/>
      <c r="AO43" s="382"/>
      <c r="AP43" s="382"/>
      <c r="AQ43" s="382"/>
      <c r="AR43" s="382"/>
      <c r="AS43" s="381"/>
      <c r="AT43" s="382"/>
      <c r="AU43" s="382"/>
      <c r="AV43" s="382"/>
      <c r="AW43" s="383"/>
      <c r="AX43" s="381"/>
      <c r="AY43" s="382"/>
      <c r="AZ43" s="250">
        <v>0.8</v>
      </c>
      <c r="BA43" s="250"/>
      <c r="BB43" s="426"/>
      <c r="BC43" s="381"/>
      <c r="BD43" s="382"/>
      <c r="BE43" s="382"/>
      <c r="BF43" s="382"/>
      <c r="BG43" s="382"/>
      <c r="BH43" s="381"/>
      <c r="BI43" s="382"/>
      <c r="BJ43" s="382"/>
      <c r="BK43" s="382"/>
      <c r="BL43" s="383"/>
      <c r="BM43" s="381"/>
      <c r="BN43" s="382"/>
      <c r="BO43" s="427"/>
      <c r="BP43" s="255"/>
      <c r="BQ43" s="255"/>
    </row>
    <row r="44" spans="2:69" s="2" customFormat="1" ht="56.1" customHeight="1" x14ac:dyDescent="0.2">
      <c r="B44" s="324">
        <v>1</v>
      </c>
      <c r="C44" s="540" t="s">
        <v>210</v>
      </c>
      <c r="D44" s="303" t="s">
        <v>211</v>
      </c>
      <c r="E44" s="325" t="s">
        <v>212</v>
      </c>
      <c r="F44" s="294" t="s">
        <v>391</v>
      </c>
      <c r="G44" s="306"/>
      <c r="H44" s="306" t="s">
        <v>214</v>
      </c>
      <c r="I44" s="317" t="s">
        <v>164</v>
      </c>
      <c r="J44" s="410"/>
      <c r="K44" s="411"/>
      <c r="L44" s="428"/>
      <c r="M44" s="429"/>
      <c r="N44" s="429"/>
      <c r="O44" s="428"/>
      <c r="P44" s="429"/>
      <c r="Q44" s="429"/>
      <c r="R44" s="429"/>
      <c r="S44" s="430"/>
      <c r="T44" s="428"/>
      <c r="U44" s="429"/>
      <c r="V44" s="429"/>
      <c r="W44" s="429"/>
      <c r="X44" s="430"/>
      <c r="Y44" s="429"/>
      <c r="Z44" s="429"/>
      <c r="AA44" s="429"/>
      <c r="AB44" s="429"/>
      <c r="AC44" s="430"/>
      <c r="AD44" s="428"/>
      <c r="AE44" s="429"/>
      <c r="AF44" s="431"/>
      <c r="AG44" s="379"/>
      <c r="AH44" s="432"/>
      <c r="AI44" s="433"/>
      <c r="AJ44" s="421"/>
      <c r="AK44" s="421">
        <v>0.75</v>
      </c>
      <c r="AL44" s="434"/>
      <c r="AM44" s="415"/>
      <c r="AN44" s="410"/>
      <c r="AO44" s="411"/>
      <c r="AP44" s="435"/>
      <c r="AQ44" s="429"/>
      <c r="AR44" s="430"/>
      <c r="AS44" s="428"/>
      <c r="AT44" s="429"/>
      <c r="AU44" s="429"/>
      <c r="AV44" s="429"/>
      <c r="AW44" s="430"/>
      <c r="AX44" s="428"/>
      <c r="AY44" s="429"/>
      <c r="AZ44" s="429"/>
      <c r="BA44" s="429"/>
      <c r="BB44" s="430"/>
      <c r="BC44" s="428"/>
      <c r="BD44" s="429"/>
      <c r="BE44" s="429"/>
      <c r="BF44" s="429"/>
      <c r="BG44" s="430"/>
      <c r="BH44" s="428"/>
      <c r="BI44" s="429"/>
      <c r="BJ44" s="431"/>
      <c r="BK44" s="411"/>
      <c r="BL44" s="379"/>
      <c r="BM44" s="436"/>
      <c r="BN44" s="437"/>
      <c r="BO44" s="418"/>
      <c r="BP44" s="285"/>
      <c r="BQ44" s="285"/>
    </row>
    <row r="45" spans="2:69" s="2" customFormat="1" ht="69" customHeight="1" x14ac:dyDescent="0.2">
      <c r="B45" s="329">
        <v>2</v>
      </c>
      <c r="C45" s="541"/>
      <c r="D45" s="304" t="s">
        <v>215</v>
      </c>
      <c r="E45" s="327" t="s">
        <v>216</v>
      </c>
      <c r="F45" s="291" t="s">
        <v>392</v>
      </c>
      <c r="G45" s="308"/>
      <c r="H45" s="332">
        <v>1</v>
      </c>
      <c r="I45" s="313" t="s">
        <v>164</v>
      </c>
      <c r="J45" s="79"/>
      <c r="K45" s="74"/>
      <c r="L45" s="368"/>
      <c r="M45" s="367"/>
      <c r="N45" s="367"/>
      <c r="O45" s="368"/>
      <c r="P45" s="367"/>
      <c r="Q45" s="367"/>
      <c r="R45" s="367"/>
      <c r="S45" s="369"/>
      <c r="T45" s="368"/>
      <c r="U45" s="367"/>
      <c r="V45" s="367"/>
      <c r="W45" s="367"/>
      <c r="X45" s="369"/>
      <c r="Y45" s="367"/>
      <c r="Z45" s="367"/>
      <c r="AA45" s="367"/>
      <c r="AB45" s="367"/>
      <c r="AC45" s="369"/>
      <c r="AD45" s="368"/>
      <c r="AE45" s="367"/>
      <c r="AF45" s="370"/>
      <c r="AG45" s="80"/>
      <c r="AH45" s="119"/>
      <c r="AI45" s="9"/>
      <c r="AJ45" s="75"/>
      <c r="AK45" s="75">
        <v>1</v>
      </c>
      <c r="AL45" s="112"/>
      <c r="AM45" s="23"/>
      <c r="AN45" s="79"/>
      <c r="AO45" s="74"/>
      <c r="AP45" s="366"/>
      <c r="AQ45" s="367"/>
      <c r="AR45" s="369"/>
      <c r="AS45" s="368"/>
      <c r="AT45" s="367"/>
      <c r="AU45" s="367"/>
      <c r="AV45" s="367"/>
      <c r="AW45" s="369"/>
      <c r="AX45" s="368"/>
      <c r="AY45" s="367"/>
      <c r="AZ45" s="367"/>
      <c r="BA45" s="367"/>
      <c r="BB45" s="369"/>
      <c r="BC45" s="368"/>
      <c r="BD45" s="367"/>
      <c r="BE45" s="367"/>
      <c r="BF45" s="367"/>
      <c r="BG45" s="369"/>
      <c r="BH45" s="368"/>
      <c r="BI45" s="367"/>
      <c r="BJ45" s="370"/>
      <c r="BK45" s="74"/>
      <c r="BL45" s="80"/>
      <c r="BM45" s="101"/>
      <c r="BN45" s="99"/>
      <c r="BO45" s="100"/>
      <c r="BP45" s="285"/>
      <c r="BQ45" s="285"/>
    </row>
    <row r="46" spans="2:69" s="2" customFormat="1" ht="62.45" customHeight="1" thickBot="1" x14ac:dyDescent="0.25">
      <c r="B46" s="330">
        <v>3</v>
      </c>
      <c r="C46" s="542"/>
      <c r="D46" s="305" t="s">
        <v>218</v>
      </c>
      <c r="E46" s="331" t="s">
        <v>219</v>
      </c>
      <c r="F46" s="295" t="s">
        <v>220</v>
      </c>
      <c r="G46" s="322"/>
      <c r="H46" s="333">
        <v>1</v>
      </c>
      <c r="I46" s="323" t="s">
        <v>164</v>
      </c>
      <c r="J46" s="221"/>
      <c r="K46" s="81"/>
      <c r="L46" s="381"/>
      <c r="M46" s="382"/>
      <c r="N46" s="382"/>
      <c r="O46" s="381"/>
      <c r="P46" s="382"/>
      <c r="Q46" s="382"/>
      <c r="R46" s="382"/>
      <c r="S46" s="383"/>
      <c r="T46" s="381"/>
      <c r="U46" s="382"/>
      <c r="V46" s="382"/>
      <c r="W46" s="382"/>
      <c r="X46" s="383"/>
      <c r="Y46" s="382"/>
      <c r="Z46" s="382"/>
      <c r="AA46" s="382"/>
      <c r="AB46" s="382"/>
      <c r="AC46" s="383"/>
      <c r="AD46" s="381"/>
      <c r="AE46" s="382"/>
      <c r="AF46" s="384"/>
      <c r="AG46" s="82"/>
      <c r="AH46" s="385"/>
      <c r="AI46" s="386"/>
      <c r="AJ46" s="250"/>
      <c r="AK46" s="250">
        <v>1</v>
      </c>
      <c r="AL46" s="387"/>
      <c r="AM46" s="388"/>
      <c r="AN46" s="221"/>
      <c r="AO46" s="81"/>
      <c r="AP46" s="389"/>
      <c r="AQ46" s="382"/>
      <c r="AR46" s="383"/>
      <c r="AS46" s="381"/>
      <c r="AT46" s="382"/>
      <c r="AU46" s="382"/>
      <c r="AV46" s="382"/>
      <c r="AW46" s="383"/>
      <c r="AX46" s="381"/>
      <c r="AY46" s="382"/>
      <c r="AZ46" s="382"/>
      <c r="BA46" s="382"/>
      <c r="BB46" s="383"/>
      <c r="BC46" s="381"/>
      <c r="BD46" s="382"/>
      <c r="BE46" s="382"/>
      <c r="BF46" s="382"/>
      <c r="BG46" s="383"/>
      <c r="BH46" s="381"/>
      <c r="BI46" s="382"/>
      <c r="BJ46" s="384"/>
      <c r="BK46" s="81"/>
      <c r="BL46" s="82"/>
      <c r="BM46" s="88"/>
      <c r="BN46" s="390"/>
      <c r="BO46" s="420"/>
      <c r="BP46" s="285"/>
      <c r="BQ46" s="285"/>
    </row>
    <row r="47" spans="2:69" ht="40.5" hidden="1" customHeight="1" x14ac:dyDescent="0.2">
      <c r="B47" s="334">
        <v>1</v>
      </c>
      <c r="C47" s="543" t="s">
        <v>221</v>
      </c>
      <c r="D47" s="303" t="s">
        <v>222</v>
      </c>
      <c r="E47" s="325" t="s">
        <v>223</v>
      </c>
      <c r="F47" s="294" t="s">
        <v>224</v>
      </c>
      <c r="G47" s="335" t="s">
        <v>225</v>
      </c>
      <c r="H47" s="336" t="s">
        <v>143</v>
      </c>
      <c r="I47" s="317" t="s">
        <v>79</v>
      </c>
      <c r="J47" s="410"/>
      <c r="K47" s="415"/>
      <c r="L47" s="438"/>
      <c r="M47" s="439"/>
      <c r="N47" s="440"/>
      <c r="O47" s="441"/>
      <c r="P47" s="434"/>
      <c r="Q47" s="434"/>
      <c r="R47" s="439"/>
      <c r="S47" s="432"/>
      <c r="T47" s="419"/>
      <c r="U47" s="442"/>
      <c r="V47" s="438"/>
      <c r="W47" s="442"/>
      <c r="X47" s="416"/>
      <c r="Y47" s="443"/>
      <c r="Z47" s="442"/>
      <c r="AA47" s="438"/>
      <c r="AB47" s="444"/>
      <c r="AC47" s="416"/>
      <c r="AD47" s="419"/>
      <c r="AE47" s="442"/>
      <c r="AF47" s="438"/>
      <c r="AG47" s="442"/>
      <c r="AH47" s="416"/>
      <c r="AI47" s="419"/>
      <c r="AJ47" s="434"/>
      <c r="AK47" s="438"/>
      <c r="AL47" s="442"/>
      <c r="AM47" s="415"/>
      <c r="AN47" s="419"/>
      <c r="AO47" s="442"/>
      <c r="AP47" s="442"/>
      <c r="AQ47" s="444"/>
      <c r="AR47" s="416"/>
      <c r="AS47" s="419"/>
      <c r="AT47" s="445"/>
      <c r="AU47" s="442"/>
      <c r="AV47" s="442"/>
      <c r="AW47" s="416"/>
      <c r="AX47" s="446"/>
      <c r="AY47" s="442"/>
      <c r="AZ47" s="438"/>
      <c r="BA47" s="444"/>
      <c r="BB47" s="416"/>
      <c r="BC47" s="419"/>
      <c r="BD47" s="442"/>
      <c r="BE47" s="442"/>
      <c r="BF47" s="444"/>
      <c r="BG47" s="416"/>
      <c r="BH47" s="433"/>
      <c r="BI47" s="442"/>
      <c r="BJ47" s="442"/>
      <c r="BK47" s="442"/>
      <c r="BL47" s="418"/>
      <c r="BM47" s="419"/>
      <c r="BN47" s="444"/>
      <c r="BO47" s="418"/>
      <c r="BP47" s="80"/>
      <c r="BQ47" s="80"/>
    </row>
    <row r="48" spans="2:69" ht="40.5" hidden="1" customHeight="1" x14ac:dyDescent="0.2">
      <c r="B48" s="337">
        <v>2</v>
      </c>
      <c r="C48" s="544"/>
      <c r="D48" s="304" t="s">
        <v>226</v>
      </c>
      <c r="E48" s="327" t="s">
        <v>227</v>
      </c>
      <c r="F48" s="291" t="s">
        <v>228</v>
      </c>
      <c r="G48" s="338" t="s">
        <v>225</v>
      </c>
      <c r="H48" s="339" t="s">
        <v>143</v>
      </c>
      <c r="I48" s="313" t="s">
        <v>79</v>
      </c>
      <c r="J48" s="79"/>
      <c r="K48" s="113"/>
      <c r="L48" s="118"/>
      <c r="M48" s="121"/>
      <c r="N48" s="113"/>
      <c r="O48" s="117"/>
      <c r="P48" s="112"/>
      <c r="Q48" s="112"/>
      <c r="R48" s="121"/>
      <c r="S48" s="119"/>
      <c r="T48" s="87"/>
      <c r="U48" s="8"/>
      <c r="V48" s="118"/>
      <c r="W48" s="8"/>
      <c r="X48" s="10"/>
      <c r="Y48" s="31"/>
      <c r="Z48" s="8"/>
      <c r="AA48" s="118"/>
      <c r="AB48" s="98"/>
      <c r="AC48" s="10"/>
      <c r="AD48" s="87"/>
      <c r="AE48" s="8"/>
      <c r="AF48" s="118"/>
      <c r="AG48" s="8"/>
      <c r="AH48" s="10"/>
      <c r="AI48" s="87"/>
      <c r="AJ48" s="112"/>
      <c r="AK48" s="118"/>
      <c r="AL48" s="8"/>
      <c r="AM48" s="23"/>
      <c r="AN48" s="87"/>
      <c r="AO48" s="8"/>
      <c r="AP48" s="8"/>
      <c r="AQ48" s="98"/>
      <c r="AR48" s="10"/>
      <c r="AS48" s="87"/>
      <c r="AT48" s="84"/>
      <c r="AU48" s="8"/>
      <c r="AV48" s="8"/>
      <c r="AW48" s="10"/>
      <c r="AX48" s="83"/>
      <c r="AY48" s="8"/>
      <c r="AZ48" s="118"/>
      <c r="BA48" s="98"/>
      <c r="BB48" s="10"/>
      <c r="BC48" s="87"/>
      <c r="BD48" s="8"/>
      <c r="BE48" s="8"/>
      <c r="BF48" s="98"/>
      <c r="BG48" s="10"/>
      <c r="BH48" s="9"/>
      <c r="BI48" s="8"/>
      <c r="BJ48" s="8"/>
      <c r="BK48" s="8"/>
      <c r="BL48" s="103"/>
      <c r="BM48" s="87"/>
      <c r="BN48" s="98"/>
      <c r="BO48" s="103"/>
      <c r="BP48" s="80"/>
      <c r="BQ48" s="80"/>
    </row>
    <row r="49" spans="2:69" ht="41.25" hidden="1" customHeight="1" x14ac:dyDescent="0.2">
      <c r="B49" s="337">
        <v>3</v>
      </c>
      <c r="C49" s="544"/>
      <c r="D49" s="304" t="s">
        <v>229</v>
      </c>
      <c r="E49" s="314" t="s">
        <v>230</v>
      </c>
      <c r="F49" s="291" t="s">
        <v>231</v>
      </c>
      <c r="G49" s="338" t="s">
        <v>225</v>
      </c>
      <c r="H49" s="339" t="s">
        <v>143</v>
      </c>
      <c r="I49" s="313" t="s">
        <v>79</v>
      </c>
      <c r="J49" s="79"/>
      <c r="K49" s="23"/>
      <c r="L49" s="118"/>
      <c r="M49" s="121"/>
      <c r="N49" s="113"/>
      <c r="O49" s="117"/>
      <c r="P49" s="112"/>
      <c r="Q49" s="112"/>
      <c r="R49" s="121"/>
      <c r="S49" s="119"/>
      <c r="T49" s="87"/>
      <c r="U49" s="8"/>
      <c r="V49" s="118"/>
      <c r="W49" s="8"/>
      <c r="X49" s="10"/>
      <c r="Y49" s="31"/>
      <c r="Z49" s="8"/>
      <c r="AA49" s="118"/>
      <c r="AB49" s="98"/>
      <c r="AC49" s="10"/>
      <c r="AD49" s="87"/>
      <c r="AE49" s="8"/>
      <c r="AF49" s="118"/>
      <c r="AG49" s="8"/>
      <c r="AH49" s="10"/>
      <c r="AI49" s="87"/>
      <c r="AJ49" s="112"/>
      <c r="AK49" s="118"/>
      <c r="AL49" s="8"/>
      <c r="AM49" s="23"/>
      <c r="AN49" s="87"/>
      <c r="AO49" s="8"/>
      <c r="AP49" s="8"/>
      <c r="AQ49" s="98"/>
      <c r="AR49" s="10"/>
      <c r="AS49" s="87"/>
      <c r="AT49" s="84"/>
      <c r="AU49" s="8"/>
      <c r="AV49" s="8"/>
      <c r="AW49" s="10"/>
      <c r="AX49" s="83"/>
      <c r="AY49" s="8"/>
      <c r="AZ49" s="118"/>
      <c r="BA49" s="98"/>
      <c r="BB49" s="10"/>
      <c r="BC49" s="87"/>
      <c r="BD49" s="8"/>
      <c r="BE49" s="8"/>
      <c r="BF49" s="98"/>
      <c r="BG49" s="10"/>
      <c r="BH49" s="9"/>
      <c r="BI49" s="8"/>
      <c r="BJ49" s="8"/>
      <c r="BK49" s="8"/>
      <c r="BL49" s="103"/>
      <c r="BM49" s="87"/>
      <c r="BN49" s="98"/>
      <c r="BO49" s="103"/>
      <c r="BP49" s="80"/>
      <c r="BQ49" s="80"/>
    </row>
    <row r="50" spans="2:69" ht="41.25" hidden="1" customHeight="1" x14ac:dyDescent="0.2">
      <c r="B50" s="337">
        <v>4</v>
      </c>
      <c r="C50" s="544"/>
      <c r="D50" s="304" t="s">
        <v>232</v>
      </c>
      <c r="E50" s="314" t="s">
        <v>233</v>
      </c>
      <c r="F50" s="291" t="s">
        <v>234</v>
      </c>
      <c r="G50" s="338" t="s">
        <v>134</v>
      </c>
      <c r="H50" s="340">
        <v>1</v>
      </c>
      <c r="I50" s="313" t="s">
        <v>79</v>
      </c>
      <c r="J50" s="79"/>
      <c r="K50" s="23"/>
      <c r="L50" s="118"/>
      <c r="M50" s="121"/>
      <c r="N50" s="113"/>
      <c r="O50" s="117"/>
      <c r="P50" s="112"/>
      <c r="Q50" s="112"/>
      <c r="R50" s="121"/>
      <c r="S50" s="119"/>
      <c r="T50" s="87"/>
      <c r="U50" s="8"/>
      <c r="V50" s="118"/>
      <c r="W50" s="8"/>
      <c r="X50" s="10"/>
      <c r="Y50" s="31"/>
      <c r="Z50" s="8"/>
      <c r="AA50" s="118"/>
      <c r="AB50" s="98"/>
      <c r="AC50" s="10"/>
      <c r="AD50" s="87"/>
      <c r="AE50" s="8"/>
      <c r="AF50" s="118"/>
      <c r="AG50" s="8"/>
      <c r="AH50" s="10"/>
      <c r="AI50" s="87"/>
      <c r="AJ50" s="112"/>
      <c r="AK50" s="118"/>
      <c r="AL50" s="8"/>
      <c r="AM50" s="23"/>
      <c r="AN50" s="87"/>
      <c r="AO50" s="8"/>
      <c r="AP50" s="8"/>
      <c r="AQ50" s="98"/>
      <c r="AR50" s="10"/>
      <c r="AS50" s="87"/>
      <c r="AT50" s="84"/>
      <c r="AU50" s="8"/>
      <c r="AV50" s="8"/>
      <c r="AW50" s="10"/>
      <c r="AX50" s="83"/>
      <c r="AY50" s="8"/>
      <c r="AZ50" s="118"/>
      <c r="BA50" s="98"/>
      <c r="BB50" s="10"/>
      <c r="BC50" s="87"/>
      <c r="BD50" s="8"/>
      <c r="BE50" s="8"/>
      <c r="BF50" s="98"/>
      <c r="BG50" s="10"/>
      <c r="BH50" s="9"/>
      <c r="BI50" s="8"/>
      <c r="BJ50" s="8"/>
      <c r="BK50" s="8"/>
      <c r="BL50" s="103"/>
      <c r="BM50" s="87"/>
      <c r="BN50" s="98"/>
      <c r="BO50" s="103"/>
      <c r="BP50" s="80"/>
      <c r="BQ50" s="80"/>
    </row>
    <row r="51" spans="2:69" ht="41.25" hidden="1" customHeight="1" x14ac:dyDescent="0.2">
      <c r="B51" s="337">
        <v>5</v>
      </c>
      <c r="C51" s="544"/>
      <c r="D51" s="304" t="s">
        <v>235</v>
      </c>
      <c r="E51" s="447" t="s">
        <v>236</v>
      </c>
      <c r="F51" s="291" t="s">
        <v>237</v>
      </c>
      <c r="G51" s="338" t="s">
        <v>134</v>
      </c>
      <c r="H51" s="340">
        <v>1</v>
      </c>
      <c r="I51" s="313" t="s">
        <v>115</v>
      </c>
      <c r="J51" s="79"/>
      <c r="K51" s="74"/>
      <c r="L51" s="79"/>
      <c r="M51" s="74"/>
      <c r="N51" s="74"/>
      <c r="O51" s="79"/>
      <c r="P51" s="74"/>
      <c r="Q51" s="74"/>
      <c r="R51" s="74"/>
      <c r="S51" s="80"/>
      <c r="T51" s="79"/>
      <c r="U51" s="74"/>
      <c r="V51" s="357"/>
      <c r="W51" s="74"/>
      <c r="X51" s="80"/>
      <c r="Y51" s="74"/>
      <c r="Z51" s="74"/>
      <c r="AA51" s="79"/>
      <c r="AB51" s="74"/>
      <c r="AC51" s="74"/>
      <c r="AD51" s="79"/>
      <c r="AE51" s="74"/>
      <c r="AF51" s="79"/>
      <c r="AG51" s="74"/>
      <c r="AH51" s="80"/>
      <c r="AI51" s="79"/>
      <c r="AJ51" s="74"/>
      <c r="AK51" s="357"/>
      <c r="AL51" s="357"/>
      <c r="AM51" s="373"/>
      <c r="AN51" s="79"/>
      <c r="AO51" s="74"/>
      <c r="AP51" s="74"/>
      <c r="AQ51" s="74"/>
      <c r="AR51" s="74"/>
      <c r="AS51" s="79"/>
      <c r="AT51" s="74"/>
      <c r="AU51" s="74"/>
      <c r="AV51" s="74"/>
      <c r="AW51" s="80"/>
      <c r="AX51" s="79"/>
      <c r="AY51" s="74"/>
      <c r="AZ51" s="357"/>
      <c r="BA51" s="357"/>
      <c r="BB51" s="372"/>
      <c r="BC51" s="79"/>
      <c r="BD51" s="74"/>
      <c r="BE51" s="74"/>
      <c r="BF51" s="74"/>
      <c r="BG51" s="74"/>
      <c r="BH51" s="79"/>
      <c r="BI51" s="74"/>
      <c r="BJ51" s="74"/>
      <c r="BK51" s="74"/>
      <c r="BL51" s="80"/>
      <c r="BM51" s="79"/>
      <c r="BN51" s="74"/>
      <c r="BO51" s="364"/>
      <c r="BP51" s="80"/>
      <c r="BQ51" s="80"/>
    </row>
    <row r="52" spans="2:69" ht="58.5" hidden="1" customHeight="1" thickBot="1" x14ac:dyDescent="0.25">
      <c r="B52" s="341">
        <v>6</v>
      </c>
      <c r="C52" s="545"/>
      <c r="D52" s="305" t="s">
        <v>238</v>
      </c>
      <c r="E52" s="321" t="s">
        <v>239</v>
      </c>
      <c r="F52" s="295" t="s">
        <v>240</v>
      </c>
      <c r="G52" s="342" t="s">
        <v>134</v>
      </c>
      <c r="H52" s="343">
        <v>1</v>
      </c>
      <c r="I52" s="323" t="s">
        <v>164</v>
      </c>
      <c r="J52" s="221"/>
      <c r="K52" s="81"/>
      <c r="L52" s="381"/>
      <c r="M52" s="382"/>
      <c r="N52" s="382"/>
      <c r="O52" s="381"/>
      <c r="P52" s="382"/>
      <c r="Q52" s="382"/>
      <c r="R52" s="382"/>
      <c r="S52" s="383"/>
      <c r="T52" s="381"/>
      <c r="U52" s="382"/>
      <c r="V52" s="250"/>
      <c r="W52" s="382"/>
      <c r="X52" s="383"/>
      <c r="Y52" s="382"/>
      <c r="Z52" s="382"/>
      <c r="AA52" s="382"/>
      <c r="AB52" s="382"/>
      <c r="AC52" s="383"/>
      <c r="AD52" s="381"/>
      <c r="AE52" s="382"/>
      <c r="AF52" s="384"/>
      <c r="AG52" s="383"/>
      <c r="AH52" s="385"/>
      <c r="AI52" s="386"/>
      <c r="AJ52" s="250"/>
      <c r="AK52" s="250"/>
      <c r="AL52" s="387"/>
      <c r="AM52" s="388"/>
      <c r="AN52" s="381"/>
      <c r="AO52" s="382"/>
      <c r="AP52" s="389"/>
      <c r="AQ52" s="382"/>
      <c r="AR52" s="383"/>
      <c r="AS52" s="381"/>
      <c r="AT52" s="382"/>
      <c r="AU52" s="382"/>
      <c r="AV52" s="382"/>
      <c r="AW52" s="383"/>
      <c r="AX52" s="381"/>
      <c r="AY52" s="382"/>
      <c r="AZ52" s="382"/>
      <c r="BA52" s="382"/>
      <c r="BB52" s="383"/>
      <c r="BC52" s="381"/>
      <c r="BD52" s="382"/>
      <c r="BE52" s="382"/>
      <c r="BF52" s="382"/>
      <c r="BG52" s="383"/>
      <c r="BH52" s="381"/>
      <c r="BI52" s="382"/>
      <c r="BJ52" s="384"/>
      <c r="BK52" s="382"/>
      <c r="BL52" s="383"/>
      <c r="BM52" s="88"/>
      <c r="BN52" s="390"/>
      <c r="BO52" s="391"/>
      <c r="BP52" s="82"/>
      <c r="BQ52" s="82"/>
    </row>
    <row r="53" spans="2:69" s="2" customFormat="1" ht="45" hidden="1" customHeight="1" x14ac:dyDescent="0.2">
      <c r="B53" s="58">
        <v>1</v>
      </c>
      <c r="C53" s="546" t="s">
        <v>241</v>
      </c>
      <c r="D53" s="127" t="s">
        <v>242</v>
      </c>
      <c r="E53" s="25" t="s">
        <v>243</v>
      </c>
      <c r="F53" s="128" t="s">
        <v>244</v>
      </c>
      <c r="G53" s="292" t="s">
        <v>154</v>
      </c>
      <c r="H53" s="293" t="s">
        <v>143</v>
      </c>
      <c r="I53" s="123" t="s">
        <v>79</v>
      </c>
      <c r="J53" s="74"/>
      <c r="K53" s="73">
        <v>1</v>
      </c>
      <c r="L53" s="74"/>
      <c r="M53" s="74"/>
      <c r="N53" s="74"/>
      <c r="O53" s="79"/>
      <c r="P53" s="73"/>
      <c r="Q53" s="74"/>
      <c r="R53" s="74"/>
      <c r="S53" s="80"/>
      <c r="T53" s="79"/>
      <c r="U53" s="73"/>
      <c r="V53" s="74"/>
      <c r="W53" s="74"/>
      <c r="X53" s="80"/>
      <c r="Y53" s="74"/>
      <c r="Z53" s="73"/>
      <c r="AA53" s="74"/>
      <c r="AB53" s="74"/>
      <c r="AC53" s="80"/>
      <c r="AD53" s="74"/>
      <c r="AE53" s="73"/>
      <c r="AF53" s="74"/>
      <c r="AG53" s="74"/>
      <c r="AH53" s="74"/>
      <c r="AI53" s="79"/>
      <c r="AJ53" s="73"/>
      <c r="AK53" s="74"/>
      <c r="AL53" s="74"/>
      <c r="AM53" s="74"/>
      <c r="AN53" s="79"/>
      <c r="AO53" s="74"/>
      <c r="AP53" s="74"/>
      <c r="AQ53" s="74"/>
      <c r="AR53" s="80"/>
      <c r="AS53" s="79"/>
      <c r="AT53" s="73"/>
      <c r="AU53" s="74"/>
      <c r="AV53" s="74"/>
      <c r="AW53" s="80"/>
      <c r="AX53" s="74"/>
      <c r="AY53" s="73"/>
      <c r="AZ53" s="74"/>
      <c r="BA53" s="74"/>
      <c r="BB53" s="80"/>
      <c r="BC53" s="79"/>
      <c r="BD53" s="73"/>
      <c r="BE53" s="74"/>
      <c r="BF53" s="74"/>
      <c r="BG53" s="80"/>
      <c r="BH53" s="79"/>
      <c r="BI53" s="73"/>
      <c r="BJ53" s="74"/>
      <c r="BK53" s="74"/>
      <c r="BL53" s="80"/>
      <c r="BM53" s="79"/>
      <c r="BN53" s="73"/>
      <c r="BO53" s="74"/>
      <c r="BP53" s="74"/>
      <c r="BQ53" s="80"/>
    </row>
    <row r="54" spans="2:69" s="2" customFormat="1" ht="45" hidden="1" customHeight="1" x14ac:dyDescent="0.2">
      <c r="B54" s="59">
        <v>2</v>
      </c>
      <c r="C54" s="546"/>
      <c r="D54" s="129" t="s">
        <v>245</v>
      </c>
      <c r="E54" s="27" t="s">
        <v>246</v>
      </c>
      <c r="F54" s="128" t="s">
        <v>247</v>
      </c>
      <c r="G54" s="26" t="s">
        <v>248</v>
      </c>
      <c r="H54" s="24" t="s">
        <v>143</v>
      </c>
      <c r="I54" s="123" t="s">
        <v>79</v>
      </c>
      <c r="J54" s="74"/>
      <c r="K54" s="112">
        <v>1</v>
      </c>
      <c r="L54" s="74"/>
      <c r="M54" s="74"/>
      <c r="N54" s="74"/>
      <c r="O54" s="79"/>
      <c r="P54" s="112"/>
      <c r="Q54" s="74"/>
      <c r="R54" s="74"/>
      <c r="S54" s="80"/>
      <c r="T54" s="79"/>
      <c r="U54" s="8"/>
      <c r="V54" s="74"/>
      <c r="W54" s="74"/>
      <c r="X54" s="80"/>
      <c r="Y54" s="74"/>
      <c r="Z54" s="8"/>
      <c r="AA54" s="74"/>
      <c r="AB54" s="74"/>
      <c r="AC54" s="80"/>
      <c r="AD54" s="74"/>
      <c r="AE54" s="8"/>
      <c r="AF54" s="74"/>
      <c r="AG54" s="74"/>
      <c r="AH54" s="74"/>
      <c r="AI54" s="79"/>
      <c r="AJ54" s="8"/>
      <c r="AK54" s="74"/>
      <c r="AL54" s="74"/>
      <c r="AM54" s="74"/>
      <c r="AN54" s="79"/>
      <c r="AO54" s="74"/>
      <c r="AP54" s="74"/>
      <c r="AQ54" s="74"/>
      <c r="AR54" s="80"/>
      <c r="AS54" s="79"/>
      <c r="AT54" s="8"/>
      <c r="AU54" s="74"/>
      <c r="AV54" s="74"/>
      <c r="AW54" s="80"/>
      <c r="AX54" s="74"/>
      <c r="AY54" s="8"/>
      <c r="AZ54" s="74"/>
      <c r="BA54" s="74"/>
      <c r="BB54" s="80"/>
      <c r="BC54" s="79"/>
      <c r="BD54" s="8"/>
      <c r="BE54" s="74"/>
      <c r="BF54" s="74"/>
      <c r="BG54" s="80"/>
      <c r="BH54" s="79"/>
      <c r="BI54" s="8"/>
      <c r="BJ54" s="74"/>
      <c r="BK54" s="74"/>
      <c r="BL54" s="80"/>
      <c r="BM54" s="79"/>
      <c r="BN54" s="8"/>
      <c r="BO54" s="74"/>
      <c r="BP54" s="74"/>
      <c r="BQ54" s="80"/>
    </row>
    <row r="55" spans="2:69" s="2" customFormat="1" ht="45" hidden="1" customHeight="1" x14ac:dyDescent="0.2">
      <c r="B55" s="59">
        <v>3</v>
      </c>
      <c r="C55" s="546"/>
      <c r="D55" s="130" t="s">
        <v>249</v>
      </c>
      <c r="E55" s="28" t="s">
        <v>250</v>
      </c>
      <c r="F55" s="131" t="s">
        <v>251</v>
      </c>
      <c r="G55" s="26" t="s">
        <v>252</v>
      </c>
      <c r="H55" s="24" t="s">
        <v>143</v>
      </c>
      <c r="I55" s="123" t="s">
        <v>79</v>
      </c>
      <c r="J55" s="74"/>
      <c r="K55" s="8">
        <v>0.7</v>
      </c>
      <c r="L55" s="74"/>
      <c r="M55" s="74"/>
      <c r="N55" s="74"/>
      <c r="O55" s="79"/>
      <c r="P55" s="8"/>
      <c r="Q55" s="74"/>
      <c r="R55" s="74"/>
      <c r="S55" s="80"/>
      <c r="T55" s="79"/>
      <c r="U55" s="8"/>
      <c r="V55" s="74"/>
      <c r="W55" s="74"/>
      <c r="X55" s="80"/>
      <c r="Y55" s="74"/>
      <c r="Z55" s="8"/>
      <c r="AA55" s="74"/>
      <c r="AB55" s="74"/>
      <c r="AC55" s="80"/>
      <c r="AD55" s="74"/>
      <c r="AE55" s="8"/>
      <c r="AF55" s="74"/>
      <c r="AG55" s="74"/>
      <c r="AH55" s="74"/>
      <c r="AI55" s="79"/>
      <c r="AJ55" s="8"/>
      <c r="AK55" s="74"/>
      <c r="AL55" s="74"/>
      <c r="AM55" s="74"/>
      <c r="AN55" s="79"/>
      <c r="AO55" s="74"/>
      <c r="AP55" s="74"/>
      <c r="AQ55" s="74"/>
      <c r="AR55" s="80"/>
      <c r="AS55" s="79"/>
      <c r="AT55" s="8"/>
      <c r="AU55" s="74"/>
      <c r="AV55" s="74"/>
      <c r="AW55" s="80"/>
      <c r="AX55" s="74"/>
      <c r="AY55" s="8"/>
      <c r="AZ55" s="74"/>
      <c r="BA55" s="74"/>
      <c r="BB55" s="80"/>
      <c r="BC55" s="79"/>
      <c r="BD55" s="8"/>
      <c r="BE55" s="74"/>
      <c r="BF55" s="74"/>
      <c r="BG55" s="80"/>
      <c r="BH55" s="79"/>
      <c r="BI55" s="8"/>
      <c r="BJ55" s="74"/>
      <c r="BK55" s="74"/>
      <c r="BL55" s="80"/>
      <c r="BM55" s="79"/>
      <c r="BN55" s="8"/>
      <c r="BO55" s="74"/>
      <c r="BP55" s="74"/>
      <c r="BQ55" s="80"/>
    </row>
    <row r="56" spans="2:69" s="2" customFormat="1" ht="45" hidden="1" customHeight="1" x14ac:dyDescent="0.2">
      <c r="B56" s="59">
        <v>4</v>
      </c>
      <c r="C56" s="546"/>
      <c r="D56" s="130" t="s">
        <v>253</v>
      </c>
      <c r="E56" s="28" t="s">
        <v>254</v>
      </c>
      <c r="F56" s="131" t="s">
        <v>255</v>
      </c>
      <c r="G56" s="26" t="s">
        <v>252</v>
      </c>
      <c r="H56" s="24" t="s">
        <v>143</v>
      </c>
      <c r="I56" s="123" t="s">
        <v>79</v>
      </c>
      <c r="J56" s="74"/>
      <c r="K56" s="8">
        <v>1</v>
      </c>
      <c r="L56" s="74"/>
      <c r="M56" s="74"/>
      <c r="N56" s="74"/>
      <c r="O56" s="79"/>
      <c r="P56" s="8"/>
      <c r="Q56" s="74"/>
      <c r="R56" s="74"/>
      <c r="S56" s="80"/>
      <c r="T56" s="79"/>
      <c r="U56" s="8"/>
      <c r="V56" s="74"/>
      <c r="W56" s="74"/>
      <c r="X56" s="80"/>
      <c r="Y56" s="74"/>
      <c r="Z56" s="8"/>
      <c r="AA56" s="74"/>
      <c r="AB56" s="74"/>
      <c r="AC56" s="80"/>
      <c r="AD56" s="74"/>
      <c r="AE56" s="8"/>
      <c r="AF56" s="74"/>
      <c r="AG56" s="74"/>
      <c r="AH56" s="74"/>
      <c r="AI56" s="79"/>
      <c r="AJ56" s="8"/>
      <c r="AK56" s="74"/>
      <c r="AL56" s="74"/>
      <c r="AM56" s="74"/>
      <c r="AN56" s="79"/>
      <c r="AO56" s="74"/>
      <c r="AP56" s="74"/>
      <c r="AQ56" s="74"/>
      <c r="AR56" s="80"/>
      <c r="AS56" s="79"/>
      <c r="AT56" s="8"/>
      <c r="AU56" s="74"/>
      <c r="AV56" s="74"/>
      <c r="AW56" s="80"/>
      <c r="AX56" s="74"/>
      <c r="AY56" s="8"/>
      <c r="AZ56" s="74"/>
      <c r="BA56" s="74"/>
      <c r="BB56" s="80"/>
      <c r="BC56" s="79"/>
      <c r="BD56" s="8"/>
      <c r="BE56" s="74"/>
      <c r="BF56" s="74"/>
      <c r="BG56" s="80"/>
      <c r="BH56" s="79"/>
      <c r="BI56" s="8"/>
      <c r="BJ56" s="74"/>
      <c r="BK56" s="74"/>
      <c r="BL56" s="80"/>
      <c r="BM56" s="79"/>
      <c r="BN56" s="8"/>
      <c r="BO56" s="74"/>
      <c r="BP56" s="74"/>
      <c r="BQ56" s="80"/>
    </row>
    <row r="57" spans="2:69" s="2" customFormat="1" ht="45" hidden="1" customHeight="1" x14ac:dyDescent="0.2">
      <c r="B57" s="59">
        <v>5</v>
      </c>
      <c r="C57" s="547"/>
      <c r="D57" s="130" t="s">
        <v>256</v>
      </c>
      <c r="E57" s="28" t="s">
        <v>257</v>
      </c>
      <c r="F57" s="131" t="s">
        <v>258</v>
      </c>
      <c r="G57" s="26" t="s">
        <v>143</v>
      </c>
      <c r="H57" s="24" t="s">
        <v>143</v>
      </c>
      <c r="I57" s="123" t="s">
        <v>79</v>
      </c>
      <c r="J57" s="74"/>
      <c r="K57" s="8">
        <v>1</v>
      </c>
      <c r="L57" s="74"/>
      <c r="M57" s="74"/>
      <c r="N57" s="74"/>
      <c r="O57" s="79"/>
      <c r="P57" s="8"/>
      <c r="Q57" s="74"/>
      <c r="R57" s="74"/>
      <c r="S57" s="80"/>
      <c r="T57" s="79"/>
      <c r="U57" s="8"/>
      <c r="V57" s="74"/>
      <c r="W57" s="74"/>
      <c r="X57" s="80"/>
      <c r="Y57" s="74"/>
      <c r="Z57" s="8"/>
      <c r="AA57" s="74"/>
      <c r="AB57" s="74"/>
      <c r="AC57" s="80"/>
      <c r="AD57" s="74"/>
      <c r="AE57" s="8"/>
      <c r="AF57" s="74"/>
      <c r="AG57" s="74"/>
      <c r="AH57" s="74"/>
      <c r="AI57" s="79"/>
      <c r="AJ57" s="8"/>
      <c r="AK57" s="74"/>
      <c r="AL57" s="74"/>
      <c r="AM57" s="74"/>
      <c r="AN57" s="79"/>
      <c r="AO57" s="74"/>
      <c r="AP57" s="74"/>
      <c r="AQ57" s="74"/>
      <c r="AR57" s="80"/>
      <c r="AS57" s="79"/>
      <c r="AT57" s="8"/>
      <c r="AU57" s="74"/>
      <c r="AV57" s="74"/>
      <c r="AW57" s="80"/>
      <c r="AX57" s="74"/>
      <c r="AY57" s="8"/>
      <c r="AZ57" s="74"/>
      <c r="BA57" s="74"/>
      <c r="BB57" s="80"/>
      <c r="BC57" s="79"/>
      <c r="BD57" s="8"/>
      <c r="BE57" s="74"/>
      <c r="BF57" s="74"/>
      <c r="BG57" s="80"/>
      <c r="BH57" s="79"/>
      <c r="BI57" s="8"/>
      <c r="BJ57" s="74"/>
      <c r="BK57" s="74"/>
      <c r="BL57" s="80"/>
      <c r="BM57" s="79"/>
      <c r="BN57" s="8"/>
      <c r="BO57" s="74"/>
      <c r="BP57" s="74"/>
      <c r="BQ57" s="80"/>
    </row>
    <row r="58" spans="2:69" s="2" customFormat="1" ht="63.75" hidden="1" customHeight="1" x14ac:dyDescent="0.2">
      <c r="B58" s="60">
        <v>1</v>
      </c>
      <c r="C58" s="548" t="s">
        <v>259</v>
      </c>
      <c r="D58" s="132" t="s">
        <v>260</v>
      </c>
      <c r="E58" s="29" t="s">
        <v>261</v>
      </c>
      <c r="F58" s="133" t="s">
        <v>262</v>
      </c>
      <c r="G58" s="30" t="s">
        <v>263</v>
      </c>
      <c r="H58" s="24" t="s">
        <v>143</v>
      </c>
      <c r="I58" s="124" t="s">
        <v>264</v>
      </c>
      <c r="J58" s="116">
        <v>1</v>
      </c>
      <c r="K58" s="74"/>
      <c r="L58" s="74"/>
      <c r="M58" s="74"/>
      <c r="N58" s="74"/>
      <c r="O58" s="89"/>
      <c r="P58" s="74"/>
      <c r="Q58" s="74"/>
      <c r="R58" s="74"/>
      <c r="S58" s="80"/>
      <c r="T58" s="116"/>
      <c r="U58" s="74"/>
      <c r="V58" s="74"/>
      <c r="W58" s="74"/>
      <c r="X58" s="80"/>
      <c r="Y58" s="31"/>
      <c r="Z58" s="74"/>
      <c r="AA58" s="74"/>
      <c r="AB58" s="74"/>
      <c r="AC58" s="80"/>
      <c r="AD58" s="111"/>
      <c r="AE58" s="74"/>
      <c r="AF58" s="74"/>
      <c r="AG58" s="74"/>
      <c r="AH58" s="74"/>
      <c r="AI58" s="118"/>
      <c r="AJ58" s="74"/>
      <c r="AK58" s="74"/>
      <c r="AL58" s="74"/>
      <c r="AM58" s="74"/>
      <c r="AN58" s="79"/>
      <c r="AO58" s="74"/>
      <c r="AP58" s="74"/>
      <c r="AQ58" s="74"/>
      <c r="AR58" s="80"/>
      <c r="AS58" s="79"/>
      <c r="AT58" s="74"/>
      <c r="AU58" s="74"/>
      <c r="AV58" s="74"/>
      <c r="AW58" s="80"/>
      <c r="AX58" s="74"/>
      <c r="AY58" s="74"/>
      <c r="AZ58" s="74"/>
      <c r="BA58" s="74"/>
      <c r="BB58" s="80"/>
      <c r="BC58" s="79"/>
      <c r="BD58" s="74"/>
      <c r="BE58" s="74"/>
      <c r="BF58" s="74"/>
      <c r="BG58" s="80"/>
      <c r="BH58" s="79"/>
      <c r="BI58" s="74"/>
      <c r="BJ58" s="74"/>
      <c r="BK58" s="74"/>
      <c r="BL58" s="80"/>
      <c r="BM58" s="79"/>
      <c r="BN58" s="74"/>
      <c r="BO58" s="74"/>
      <c r="BP58" s="74"/>
      <c r="BQ58" s="80"/>
    </row>
    <row r="59" spans="2:69" s="2" customFormat="1" ht="45" hidden="1" customHeight="1" x14ac:dyDescent="0.2">
      <c r="B59" s="64">
        <v>2</v>
      </c>
      <c r="C59" s="549"/>
      <c r="D59" s="132" t="s">
        <v>265</v>
      </c>
      <c r="E59" s="29" t="s">
        <v>261</v>
      </c>
      <c r="F59" s="133" t="s">
        <v>266</v>
      </c>
      <c r="G59" s="30" t="s">
        <v>263</v>
      </c>
      <c r="H59" s="24" t="s">
        <v>143</v>
      </c>
      <c r="I59" s="125" t="s">
        <v>79</v>
      </c>
      <c r="J59" s="87">
        <v>9.5799999999999996E-2</v>
      </c>
      <c r="K59" s="74"/>
      <c r="L59" s="74"/>
      <c r="M59" s="74"/>
      <c r="N59" s="74"/>
      <c r="O59" s="117"/>
      <c r="P59" s="74"/>
      <c r="Q59" s="74"/>
      <c r="R59" s="74"/>
      <c r="S59" s="80"/>
      <c r="T59" s="117"/>
      <c r="U59" s="74"/>
      <c r="V59" s="74"/>
      <c r="W59" s="74"/>
      <c r="X59" s="80"/>
      <c r="Y59" s="97"/>
      <c r="Z59" s="74"/>
      <c r="AA59" s="74"/>
      <c r="AB59" s="74"/>
      <c r="AC59" s="80"/>
      <c r="AD59" s="122"/>
      <c r="AE59" s="74"/>
      <c r="AF59" s="74"/>
      <c r="AG59" s="74"/>
      <c r="AH59" s="74"/>
      <c r="AI59" s="117"/>
      <c r="AJ59" s="74"/>
      <c r="AK59" s="74"/>
      <c r="AL59" s="74"/>
      <c r="AM59" s="74"/>
      <c r="AN59" s="79"/>
      <c r="AO59" s="74"/>
      <c r="AP59" s="74"/>
      <c r="AQ59" s="74"/>
      <c r="AR59" s="80"/>
      <c r="AS59" s="79"/>
      <c r="AT59" s="74"/>
      <c r="AU59" s="74"/>
      <c r="AV59" s="74"/>
      <c r="AW59" s="80"/>
      <c r="AX59" s="74"/>
      <c r="AY59" s="74"/>
      <c r="AZ59" s="74"/>
      <c r="BA59" s="74"/>
      <c r="BB59" s="80"/>
      <c r="BC59" s="79"/>
      <c r="BD59" s="74"/>
      <c r="BE59" s="74"/>
      <c r="BF59" s="74"/>
      <c r="BG59" s="80"/>
      <c r="BH59" s="79"/>
      <c r="BI59" s="74"/>
      <c r="BJ59" s="74"/>
      <c r="BK59" s="74"/>
      <c r="BL59" s="80"/>
      <c r="BM59" s="79"/>
      <c r="BN59" s="74"/>
      <c r="BO59" s="74"/>
      <c r="BP59" s="74"/>
      <c r="BQ59" s="80"/>
    </row>
    <row r="60" spans="2:69" s="2" customFormat="1" ht="45" hidden="1" customHeight="1" thickBot="1" x14ac:dyDescent="0.25">
      <c r="B60" s="61">
        <v>3</v>
      </c>
      <c r="C60" s="550"/>
      <c r="D60" s="134" t="s">
        <v>267</v>
      </c>
      <c r="E60" s="62" t="s">
        <v>268</v>
      </c>
      <c r="F60" s="135" t="s">
        <v>269</v>
      </c>
      <c r="G60" s="63" t="s">
        <v>270</v>
      </c>
      <c r="H60" s="24" t="s">
        <v>143</v>
      </c>
      <c r="I60" s="126" t="s">
        <v>79</v>
      </c>
      <c r="J60" s="88">
        <v>0</v>
      </c>
      <c r="K60" s="81"/>
      <c r="L60" s="81"/>
      <c r="M60" s="81"/>
      <c r="N60" s="81"/>
      <c r="O60" s="88"/>
      <c r="P60" s="81"/>
      <c r="Q60" s="81"/>
      <c r="R60" s="81"/>
      <c r="S60" s="82"/>
      <c r="T60" s="223"/>
      <c r="U60" s="81"/>
      <c r="V60" s="81"/>
      <c r="W60" s="81"/>
      <c r="X60" s="82"/>
      <c r="Y60" s="72"/>
      <c r="Z60" s="81"/>
      <c r="AA60" s="81"/>
      <c r="AB60" s="81"/>
      <c r="AC60" s="82"/>
      <c r="AD60" s="219"/>
      <c r="AE60" s="81"/>
      <c r="AF60" s="81"/>
      <c r="AG60" s="81"/>
      <c r="AH60" s="81"/>
      <c r="AI60" s="220"/>
      <c r="AJ60" s="81"/>
      <c r="AK60" s="81"/>
      <c r="AL60" s="81"/>
      <c r="AM60" s="81"/>
      <c r="AN60" s="221"/>
      <c r="AO60" s="81"/>
      <c r="AP60" s="81"/>
      <c r="AQ60" s="81"/>
      <c r="AR60" s="82"/>
      <c r="AS60" s="221"/>
      <c r="AT60" s="81"/>
      <c r="AU60" s="81"/>
      <c r="AV60" s="81"/>
      <c r="AW60" s="82"/>
      <c r="AX60" s="81"/>
      <c r="AY60" s="81"/>
      <c r="AZ60" s="81"/>
      <c r="BA60" s="81"/>
      <c r="BB60" s="82"/>
      <c r="BC60" s="221"/>
      <c r="BD60" s="81"/>
      <c r="BE60" s="81"/>
      <c r="BF60" s="81"/>
      <c r="BG60" s="82"/>
      <c r="BH60" s="221"/>
      <c r="BI60" s="81"/>
      <c r="BJ60" s="81"/>
      <c r="BK60" s="81"/>
      <c r="BL60" s="82"/>
      <c r="BM60" s="221"/>
      <c r="BN60" s="81"/>
      <c r="BO60" s="81"/>
      <c r="BP60" s="81"/>
      <c r="BQ60" s="82"/>
    </row>
  </sheetData>
  <sheetProtection deleteColumns="0" deleteRows="0"/>
  <mergeCells count="19">
    <mergeCell ref="C32:C43"/>
    <mergeCell ref="C44:C46"/>
    <mergeCell ref="C47:C52"/>
    <mergeCell ref="C53:C57"/>
    <mergeCell ref="C58:C60"/>
    <mergeCell ref="B5:I5"/>
    <mergeCell ref="L5:AK5"/>
    <mergeCell ref="AP5:BO5"/>
    <mergeCell ref="C7:C20"/>
    <mergeCell ref="C21:C31"/>
    <mergeCell ref="D24:D25"/>
    <mergeCell ref="E24:E25"/>
    <mergeCell ref="B2:D3"/>
    <mergeCell ref="E2:AK3"/>
    <mergeCell ref="AP2:BO3"/>
    <mergeCell ref="B4:D4"/>
    <mergeCell ref="E4:Q4"/>
    <mergeCell ref="V4:AK4"/>
    <mergeCell ref="AP4:BO4"/>
  </mergeCells>
  <printOptions horizontalCentered="1" verticalCentered="1"/>
  <pageMargins left="0.15748031496062992" right="0" top="0" bottom="0" header="0" footer="0"/>
  <pageSetup paperSize="9" fitToHeight="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BR60"/>
  <sheetViews>
    <sheetView showGridLines="0" topLeftCell="D13" zoomScale="70" zoomScaleNormal="70" zoomScaleSheetLayoutView="40" workbookViewId="0">
      <selection activeCell="U17" sqref="U17"/>
    </sheetView>
  </sheetViews>
  <sheetFormatPr baseColWidth="10" defaultColWidth="11.42578125" defaultRowHeight="16.5" x14ac:dyDescent="0.2"/>
  <cols>
    <col min="1" max="1" width="5.7109375" style="3" customWidth="1"/>
    <col min="2" max="2" width="16.5703125" style="1" customWidth="1"/>
    <col min="3" max="3" width="33.140625" style="3" customWidth="1"/>
    <col min="4" max="4" width="14.28515625" style="4" customWidth="1"/>
    <col min="5" max="5" width="46.5703125" style="3" customWidth="1"/>
    <col min="6" max="6" width="16.28515625" style="6" customWidth="1"/>
    <col min="7" max="7" width="20.5703125" style="6" customWidth="1"/>
    <col min="8" max="8" width="26.85546875" style="3" customWidth="1"/>
    <col min="9" max="9" width="10.5703125" style="3" hidden="1" customWidth="1"/>
    <col min="10" max="10" width="4.85546875" style="3" hidden="1" customWidth="1"/>
    <col min="11" max="11" width="10.28515625" style="3" customWidth="1"/>
    <col min="12" max="15" width="8.5703125" style="3" hidden="1" customWidth="1"/>
    <col min="16" max="16" width="10.140625" style="3" customWidth="1"/>
    <col min="17" max="17" width="8.5703125" style="3" hidden="1" customWidth="1"/>
    <col min="18" max="18" width="8.7109375" style="3" hidden="1" customWidth="1"/>
    <col min="19" max="19" width="11.42578125" style="3" hidden="1" customWidth="1"/>
    <col min="20" max="20" width="8.28515625" style="3" hidden="1" customWidth="1"/>
    <col min="21" max="21" width="10.140625" style="3" customWidth="1"/>
    <col min="22" max="23" width="8.5703125" style="3" hidden="1" customWidth="1"/>
    <col min="24" max="25" width="8.5703125" style="7" hidden="1" customWidth="1"/>
    <col min="26" max="26" width="9.42578125" style="7" customWidth="1"/>
    <col min="27" max="29" width="8.5703125" style="7" hidden="1" customWidth="1"/>
    <col min="30" max="30" width="0.42578125" style="7" hidden="1" customWidth="1"/>
    <col min="31" max="31" width="10" style="7" customWidth="1"/>
    <col min="32" max="35" width="8.5703125" style="7" hidden="1" customWidth="1"/>
    <col min="36" max="36" width="10" style="7" bestFit="1" customWidth="1"/>
    <col min="37" max="40" width="8.5703125" style="7" hidden="1" customWidth="1"/>
    <col min="41" max="41" width="9.5703125" style="7" customWidth="1"/>
    <col min="42" max="45" width="8.5703125" style="7" hidden="1" customWidth="1"/>
    <col min="46" max="46" width="10.42578125" style="7" customWidth="1"/>
    <col min="47" max="50" width="8.5703125" style="7" hidden="1" customWidth="1"/>
    <col min="51" max="51" width="9" style="7" bestFit="1" customWidth="1"/>
    <col min="52" max="55" width="8.5703125" style="7" hidden="1" customWidth="1"/>
    <col min="56" max="56" width="9.5703125" style="7" customWidth="1"/>
    <col min="57" max="57" width="8.140625" style="7" hidden="1" customWidth="1"/>
    <col min="58" max="58" width="4.85546875" style="7" hidden="1" customWidth="1"/>
    <col min="59" max="59" width="9.5703125" style="7" hidden="1" customWidth="1"/>
    <col min="60" max="60" width="9.85546875" style="7" hidden="1" customWidth="1"/>
    <col min="61" max="61" width="9.42578125" style="7" customWidth="1"/>
    <col min="62" max="62" width="9.85546875" style="7" hidden="1" customWidth="1"/>
    <col min="63" max="63" width="9.140625" style="7" hidden="1" customWidth="1"/>
    <col min="64" max="64" width="8.5703125" style="1" hidden="1" customWidth="1"/>
    <col min="65" max="65" width="4.85546875" style="1" hidden="1" customWidth="1"/>
    <col min="66" max="66" width="9.42578125" style="1" customWidth="1"/>
    <col min="67" max="67" width="9.5703125" style="1" hidden="1" customWidth="1"/>
    <col min="68" max="68" width="8.28515625" style="1" hidden="1" customWidth="1"/>
    <col min="69" max="16384" width="11.42578125" style="1"/>
  </cols>
  <sheetData>
    <row r="1" spans="1:70" ht="42" customHeight="1" x14ac:dyDescent="0.2">
      <c r="A1" s="506"/>
      <c r="B1" s="507"/>
      <c r="C1" s="507"/>
      <c r="D1" s="510" t="s">
        <v>383</v>
      </c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  <c r="AB1" s="511"/>
      <c r="AC1" s="511"/>
      <c r="AD1" s="511"/>
      <c r="AE1" s="511"/>
      <c r="AF1" s="511"/>
      <c r="AG1" s="511"/>
      <c r="AH1" s="511"/>
      <c r="AI1" s="511"/>
      <c r="AJ1" s="512"/>
      <c r="AK1" s="448"/>
      <c r="AL1" s="448"/>
      <c r="AM1" s="448"/>
      <c r="AN1" s="448"/>
      <c r="AO1" s="511" t="s">
        <v>370</v>
      </c>
      <c r="AP1" s="511"/>
      <c r="AQ1" s="511"/>
      <c r="AR1" s="511"/>
      <c r="AS1" s="511"/>
      <c r="AT1" s="511"/>
      <c r="AU1" s="511"/>
      <c r="AV1" s="511"/>
      <c r="AW1" s="511"/>
      <c r="AX1" s="511"/>
      <c r="AY1" s="511"/>
      <c r="AZ1" s="511"/>
      <c r="BA1" s="511"/>
      <c r="BB1" s="511"/>
      <c r="BC1" s="511"/>
      <c r="BD1" s="511"/>
      <c r="BE1" s="511"/>
      <c r="BF1" s="511"/>
      <c r="BG1" s="511"/>
      <c r="BH1" s="511"/>
      <c r="BI1" s="511"/>
      <c r="BJ1" s="511"/>
      <c r="BK1" s="511"/>
      <c r="BL1" s="511"/>
      <c r="BM1" s="511"/>
      <c r="BN1" s="512"/>
      <c r="BO1" s="450"/>
      <c r="BP1" s="457"/>
    </row>
    <row r="2" spans="1:70" ht="42" customHeight="1" thickBot="1" x14ac:dyDescent="0.25">
      <c r="A2" s="508"/>
      <c r="B2" s="509"/>
      <c r="C2" s="509"/>
      <c r="D2" s="513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5"/>
      <c r="AK2" s="449"/>
      <c r="AL2" s="449"/>
      <c r="AM2" s="449"/>
      <c r="AN2" s="449"/>
      <c r="AO2" s="514"/>
      <c r="AP2" s="514"/>
      <c r="AQ2" s="514"/>
      <c r="AR2" s="514"/>
      <c r="AS2" s="514"/>
      <c r="AT2" s="514"/>
      <c r="AU2" s="514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BG2" s="514"/>
      <c r="BH2" s="514"/>
      <c r="BI2" s="514"/>
      <c r="BJ2" s="514"/>
      <c r="BK2" s="514"/>
      <c r="BL2" s="514"/>
      <c r="BM2" s="514"/>
      <c r="BN2" s="515"/>
      <c r="BO2" s="7"/>
      <c r="BP2" s="458"/>
    </row>
    <row r="3" spans="1:70" ht="15.75" customHeight="1" thickBot="1" x14ac:dyDescent="0.25">
      <c r="A3" s="516" t="s">
        <v>371</v>
      </c>
      <c r="B3" s="517"/>
      <c r="C3" s="518"/>
      <c r="D3" s="516" t="s">
        <v>377</v>
      </c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8"/>
      <c r="Q3" s="33"/>
      <c r="R3" s="33"/>
      <c r="S3" s="33"/>
      <c r="T3" s="33"/>
      <c r="U3" s="517" t="s">
        <v>378</v>
      </c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451"/>
      <c r="AL3" s="451"/>
      <c r="AM3" s="451"/>
      <c r="AN3" s="451"/>
      <c r="AO3" s="519" t="s">
        <v>372</v>
      </c>
      <c r="AP3" s="520"/>
      <c r="AQ3" s="520"/>
      <c r="AR3" s="520"/>
      <c r="AS3" s="520"/>
      <c r="AT3" s="520"/>
      <c r="AU3" s="520"/>
      <c r="AV3" s="520"/>
      <c r="AW3" s="520"/>
      <c r="AX3" s="520"/>
      <c r="AY3" s="520"/>
      <c r="AZ3" s="520"/>
      <c r="BA3" s="520"/>
      <c r="BB3" s="520"/>
      <c r="BC3" s="520"/>
      <c r="BD3" s="520"/>
      <c r="BE3" s="520"/>
      <c r="BF3" s="520"/>
      <c r="BG3" s="520"/>
      <c r="BH3" s="520"/>
      <c r="BI3" s="520"/>
      <c r="BJ3" s="520"/>
      <c r="BK3" s="520"/>
      <c r="BL3" s="520"/>
      <c r="BM3" s="520"/>
      <c r="BN3" s="521"/>
      <c r="BP3" s="459"/>
    </row>
    <row r="4" spans="1:70" s="78" customFormat="1" ht="47.25" customHeight="1" thickBot="1" x14ac:dyDescent="0.35">
      <c r="A4" s="522" t="s">
        <v>374</v>
      </c>
      <c r="B4" s="523"/>
      <c r="C4" s="523"/>
      <c r="D4" s="523"/>
      <c r="E4" s="523"/>
      <c r="F4" s="523"/>
      <c r="G4" s="523"/>
      <c r="H4" s="524"/>
      <c r="I4" s="474">
        <v>45658</v>
      </c>
      <c r="J4" s="475"/>
      <c r="K4" s="525" t="s">
        <v>373</v>
      </c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5"/>
      <c r="AJ4" s="525"/>
      <c r="AK4" s="475"/>
      <c r="AL4" s="476"/>
      <c r="AM4" s="474">
        <v>45839</v>
      </c>
      <c r="AN4" s="475"/>
      <c r="AO4" s="525" t="s">
        <v>384</v>
      </c>
      <c r="AP4" s="525"/>
      <c r="AQ4" s="525"/>
      <c r="AR4" s="525"/>
      <c r="AS4" s="525"/>
      <c r="AT4" s="525"/>
      <c r="AU4" s="525"/>
      <c r="AV4" s="525"/>
      <c r="AW4" s="525"/>
      <c r="AX4" s="525"/>
      <c r="AY4" s="525"/>
      <c r="AZ4" s="525"/>
      <c r="BA4" s="525"/>
      <c r="BB4" s="525"/>
      <c r="BC4" s="525"/>
      <c r="BD4" s="525"/>
      <c r="BE4" s="525"/>
      <c r="BF4" s="525"/>
      <c r="BG4" s="525"/>
      <c r="BH4" s="525"/>
      <c r="BI4" s="525"/>
      <c r="BJ4" s="525"/>
      <c r="BK4" s="525"/>
      <c r="BL4" s="525"/>
      <c r="BM4" s="525"/>
      <c r="BN4" s="526"/>
      <c r="BO4" s="475"/>
      <c r="BP4" s="476"/>
    </row>
    <row r="5" spans="1:70" s="5" customFormat="1" ht="44.25" customHeight="1" thickBot="1" x14ac:dyDescent="0.25">
      <c r="A5" s="344" t="s">
        <v>0</v>
      </c>
      <c r="B5" s="345" t="s">
        <v>1</v>
      </c>
      <c r="C5" s="344" t="s">
        <v>2</v>
      </c>
      <c r="D5" s="345" t="s">
        <v>3</v>
      </c>
      <c r="E5" s="344" t="s">
        <v>4</v>
      </c>
      <c r="F5" s="345" t="s">
        <v>5</v>
      </c>
      <c r="G5" s="344" t="s">
        <v>6</v>
      </c>
      <c r="H5" s="344" t="s">
        <v>7</v>
      </c>
      <c r="I5" s="460" t="s">
        <v>8</v>
      </c>
      <c r="J5" s="461" t="s">
        <v>9</v>
      </c>
      <c r="K5" s="462" t="s">
        <v>10</v>
      </c>
      <c r="L5" s="463" t="s">
        <v>11</v>
      </c>
      <c r="M5" s="464" t="s">
        <v>12</v>
      </c>
      <c r="N5" s="460" t="s">
        <v>13</v>
      </c>
      <c r="O5" s="461" t="s">
        <v>14</v>
      </c>
      <c r="P5" s="462" t="s">
        <v>15</v>
      </c>
      <c r="Q5" s="463" t="s">
        <v>16</v>
      </c>
      <c r="R5" s="465" t="s">
        <v>17</v>
      </c>
      <c r="S5" s="460" t="s">
        <v>18</v>
      </c>
      <c r="T5" s="461" t="s">
        <v>19</v>
      </c>
      <c r="U5" s="462" t="s">
        <v>20</v>
      </c>
      <c r="V5" s="463" t="s">
        <v>21</v>
      </c>
      <c r="W5" s="465" t="s">
        <v>22</v>
      </c>
      <c r="X5" s="466" t="s">
        <v>23</v>
      </c>
      <c r="Y5" s="461" t="s">
        <v>24</v>
      </c>
      <c r="Z5" s="462" t="s">
        <v>25</v>
      </c>
      <c r="AA5" s="463" t="s">
        <v>26</v>
      </c>
      <c r="AB5" s="464" t="s">
        <v>27</v>
      </c>
      <c r="AC5" s="466" t="s">
        <v>28</v>
      </c>
      <c r="AD5" s="461" t="s">
        <v>29</v>
      </c>
      <c r="AE5" s="462" t="s">
        <v>30</v>
      </c>
      <c r="AF5" s="463" t="s">
        <v>31</v>
      </c>
      <c r="AG5" s="464" t="s">
        <v>32</v>
      </c>
      <c r="AH5" s="460" t="s">
        <v>33</v>
      </c>
      <c r="AI5" s="461" t="s">
        <v>34</v>
      </c>
      <c r="AJ5" s="462" t="s">
        <v>35</v>
      </c>
      <c r="AK5" s="463" t="s">
        <v>36</v>
      </c>
      <c r="AL5" s="464" t="s">
        <v>37</v>
      </c>
      <c r="AM5" s="460" t="s">
        <v>38</v>
      </c>
      <c r="AN5" s="461" t="s">
        <v>39</v>
      </c>
      <c r="AO5" s="462" t="s">
        <v>40</v>
      </c>
      <c r="AP5" s="463" t="s">
        <v>41</v>
      </c>
      <c r="AQ5" s="465" t="s">
        <v>42</v>
      </c>
      <c r="AR5" s="460" t="s">
        <v>43</v>
      </c>
      <c r="AS5" s="461" t="s">
        <v>44</v>
      </c>
      <c r="AT5" s="462" t="s">
        <v>45</v>
      </c>
      <c r="AU5" s="463" t="s">
        <v>46</v>
      </c>
      <c r="AV5" s="465" t="s">
        <v>47</v>
      </c>
      <c r="AW5" s="460" t="s">
        <v>48</v>
      </c>
      <c r="AX5" s="461" t="s">
        <v>49</v>
      </c>
      <c r="AY5" s="462" t="s">
        <v>50</v>
      </c>
      <c r="AZ5" s="463" t="s">
        <v>51</v>
      </c>
      <c r="BA5" s="465" t="s">
        <v>52</v>
      </c>
      <c r="BB5" s="467" t="s">
        <v>53</v>
      </c>
      <c r="BC5" s="468" t="s">
        <v>54</v>
      </c>
      <c r="BD5" s="469" t="s">
        <v>55</v>
      </c>
      <c r="BE5" s="470" t="s">
        <v>56</v>
      </c>
      <c r="BF5" s="471" t="s">
        <v>57</v>
      </c>
      <c r="BG5" s="467" t="s">
        <v>58</v>
      </c>
      <c r="BH5" s="468" t="s">
        <v>59</v>
      </c>
      <c r="BI5" s="469" t="s">
        <v>60</v>
      </c>
      <c r="BJ5" s="470" t="s">
        <v>61</v>
      </c>
      <c r="BK5" s="471" t="s">
        <v>62</v>
      </c>
      <c r="BL5" s="467" t="s">
        <v>63</v>
      </c>
      <c r="BM5" s="468" t="s">
        <v>64</v>
      </c>
      <c r="BN5" s="469" t="s">
        <v>65</v>
      </c>
      <c r="BO5" s="472" t="s">
        <v>66</v>
      </c>
      <c r="BP5" s="473" t="s">
        <v>67</v>
      </c>
    </row>
    <row r="6" spans="1:70" s="2" customFormat="1" ht="45" customHeight="1" x14ac:dyDescent="0.2">
      <c r="A6" s="452">
        <v>1</v>
      </c>
      <c r="B6" s="527" t="s">
        <v>68</v>
      </c>
      <c r="C6" s="298" t="s">
        <v>69</v>
      </c>
      <c r="D6" s="307" t="s">
        <v>70</v>
      </c>
      <c r="E6" s="289" t="s">
        <v>71</v>
      </c>
      <c r="F6" s="453" t="s">
        <v>72</v>
      </c>
      <c r="G6" s="309" t="s">
        <v>73</v>
      </c>
      <c r="H6" s="310" t="s">
        <v>74</v>
      </c>
      <c r="I6" s="454"/>
      <c r="J6" s="455"/>
      <c r="K6" s="454"/>
      <c r="L6" s="456"/>
      <c r="M6" s="455"/>
      <c r="N6" s="105"/>
      <c r="O6" s="104"/>
      <c r="P6" s="104"/>
      <c r="Q6" s="456"/>
      <c r="R6" s="106"/>
      <c r="S6" s="105"/>
      <c r="T6" s="104"/>
      <c r="U6" s="104"/>
      <c r="V6" s="456"/>
      <c r="W6" s="106"/>
      <c r="X6" s="347"/>
      <c r="Y6" s="104"/>
      <c r="Z6" s="104"/>
      <c r="AA6" s="104"/>
      <c r="AB6" s="106"/>
      <c r="AC6" s="105"/>
      <c r="AD6" s="104"/>
      <c r="AE6" s="104"/>
      <c r="AF6" s="104"/>
      <c r="AG6" s="106"/>
      <c r="AH6" s="105"/>
      <c r="AI6" s="104"/>
      <c r="AJ6" s="104"/>
      <c r="AK6" s="104"/>
      <c r="AL6" s="346"/>
      <c r="AM6" s="105"/>
      <c r="AN6" s="104"/>
      <c r="AO6" s="104"/>
      <c r="AP6" s="104"/>
      <c r="AQ6" s="106"/>
      <c r="AR6" s="105"/>
      <c r="AS6" s="104"/>
      <c r="AT6" s="104"/>
      <c r="AU6" s="104"/>
      <c r="AV6" s="80"/>
      <c r="AW6" s="105"/>
      <c r="AX6" s="104"/>
      <c r="AY6" s="104"/>
      <c r="AZ6" s="104"/>
      <c r="BA6" s="80"/>
      <c r="BB6" s="105"/>
      <c r="BC6" s="104"/>
      <c r="BD6" s="478"/>
      <c r="BE6" s="104"/>
      <c r="BF6" s="80"/>
      <c r="BG6" s="105"/>
      <c r="BH6" s="104"/>
      <c r="BI6" s="104"/>
      <c r="BJ6" s="104"/>
      <c r="BK6" s="80"/>
      <c r="BL6" s="105"/>
      <c r="BM6" s="104"/>
      <c r="BN6" s="106"/>
      <c r="BO6" s="375"/>
      <c r="BP6" s="80"/>
    </row>
    <row r="7" spans="1:70" s="2" customFormat="1" ht="45" customHeight="1" x14ac:dyDescent="0.2">
      <c r="A7" s="392">
        <v>2</v>
      </c>
      <c r="B7" s="527"/>
      <c r="C7" s="298" t="s">
        <v>75</v>
      </c>
      <c r="D7" s="307" t="s">
        <v>76</v>
      </c>
      <c r="E7" s="289" t="s">
        <v>77</v>
      </c>
      <c r="F7" s="308"/>
      <c r="G7" s="309" t="s">
        <v>78</v>
      </c>
      <c r="H7" s="310" t="s">
        <v>79</v>
      </c>
      <c r="I7" s="105"/>
      <c r="J7" s="346"/>
      <c r="K7" s="105"/>
      <c r="L7" s="104"/>
      <c r="M7" s="346"/>
      <c r="N7" s="105"/>
      <c r="O7" s="104"/>
      <c r="P7" s="104"/>
      <c r="Q7" s="104"/>
      <c r="R7" s="106"/>
      <c r="S7" s="105"/>
      <c r="T7" s="104"/>
      <c r="U7" s="104"/>
      <c r="V7" s="104"/>
      <c r="W7" s="106"/>
      <c r="X7" s="347"/>
      <c r="Y7" s="104"/>
      <c r="Z7" s="104"/>
      <c r="AA7" s="104"/>
      <c r="AB7" s="106"/>
      <c r="AC7" s="105"/>
      <c r="AD7" s="104"/>
      <c r="AE7" s="104"/>
      <c r="AF7" s="104"/>
      <c r="AG7" s="106"/>
      <c r="AH7" s="105"/>
      <c r="AI7" s="104"/>
      <c r="AJ7" s="104"/>
      <c r="AK7" s="104"/>
      <c r="AL7" s="346"/>
      <c r="AM7" s="105"/>
      <c r="AN7" s="104"/>
      <c r="AO7" s="104"/>
      <c r="AP7" s="104"/>
      <c r="AQ7" s="106"/>
      <c r="AR7" s="105"/>
      <c r="AS7" s="104"/>
      <c r="AT7" s="104"/>
      <c r="AU7" s="104"/>
      <c r="AV7" s="104"/>
      <c r="AW7" s="104"/>
      <c r="AX7" s="104"/>
      <c r="AY7" s="104"/>
      <c r="AZ7" s="104"/>
      <c r="BA7" s="80"/>
      <c r="BB7" s="105"/>
      <c r="BC7" s="104"/>
      <c r="BD7" s="104"/>
      <c r="BE7" s="104"/>
      <c r="BF7" s="80"/>
      <c r="BG7" s="105"/>
      <c r="BH7" s="104"/>
      <c r="BI7" s="104"/>
      <c r="BJ7" s="104"/>
      <c r="BK7" s="80"/>
      <c r="BL7" s="105"/>
      <c r="BM7" s="104"/>
      <c r="BN7" s="106"/>
      <c r="BO7" s="375"/>
      <c r="BP7" s="80"/>
      <c r="BR7"/>
    </row>
    <row r="8" spans="1:70" s="2" customFormat="1" ht="45" customHeight="1" x14ac:dyDescent="0.2">
      <c r="A8" s="392">
        <v>3</v>
      </c>
      <c r="B8" s="527"/>
      <c r="C8" s="298" t="s">
        <v>80</v>
      </c>
      <c r="D8" s="307" t="s">
        <v>81</v>
      </c>
      <c r="E8" s="289" t="s">
        <v>82</v>
      </c>
      <c r="F8" s="308"/>
      <c r="G8" s="309" t="s">
        <v>83</v>
      </c>
      <c r="H8" s="310" t="s">
        <v>79</v>
      </c>
      <c r="I8" s="105"/>
      <c r="J8" s="346"/>
      <c r="K8" s="105"/>
      <c r="L8" s="104"/>
      <c r="M8" s="346"/>
      <c r="N8" s="105"/>
      <c r="O8" s="104"/>
      <c r="P8" s="104"/>
      <c r="Q8" s="104"/>
      <c r="R8" s="106"/>
      <c r="S8" s="105"/>
      <c r="T8" s="104"/>
      <c r="U8" s="104"/>
      <c r="V8" s="104"/>
      <c r="W8" s="106"/>
      <c r="X8" s="347"/>
      <c r="Y8" s="104"/>
      <c r="Z8" s="104"/>
      <c r="AA8" s="104"/>
      <c r="AB8" s="106"/>
      <c r="AC8" s="105"/>
      <c r="AD8" s="104"/>
      <c r="AE8" s="104"/>
      <c r="AF8" s="104"/>
      <c r="AG8" s="106"/>
      <c r="AH8" s="105"/>
      <c r="AI8" s="104"/>
      <c r="AJ8" s="104"/>
      <c r="AK8" s="104"/>
      <c r="AL8" s="346"/>
      <c r="AM8" s="105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80"/>
      <c r="BG8" s="105"/>
      <c r="BH8" s="104"/>
      <c r="BI8" s="104"/>
      <c r="BJ8" s="104"/>
      <c r="BK8" s="80"/>
      <c r="BL8" s="105"/>
      <c r="BM8" s="104"/>
      <c r="BN8" s="106"/>
      <c r="BO8" s="375"/>
      <c r="BP8" s="80"/>
    </row>
    <row r="9" spans="1:70" s="2" customFormat="1" ht="45" customHeight="1" x14ac:dyDescent="0.2">
      <c r="A9" s="392">
        <v>4</v>
      </c>
      <c r="B9" s="528"/>
      <c r="C9" s="299" t="s">
        <v>84</v>
      </c>
      <c r="D9" s="311" t="s">
        <v>85</v>
      </c>
      <c r="E9" s="290" t="s">
        <v>86</v>
      </c>
      <c r="F9" s="308" t="s">
        <v>87</v>
      </c>
      <c r="G9" s="312" t="s">
        <v>88</v>
      </c>
      <c r="H9" s="313" t="s">
        <v>79</v>
      </c>
      <c r="I9" s="68"/>
      <c r="J9" s="69"/>
      <c r="K9" s="68"/>
      <c r="L9" s="67"/>
      <c r="M9" s="69"/>
      <c r="N9" s="68"/>
      <c r="O9" s="67"/>
      <c r="P9" s="67"/>
      <c r="Q9" s="67"/>
      <c r="R9" s="70"/>
      <c r="S9" s="68"/>
      <c r="T9" s="67"/>
      <c r="U9" s="67"/>
      <c r="V9" s="67"/>
      <c r="W9" s="70"/>
      <c r="X9" s="348"/>
      <c r="Y9" s="67"/>
      <c r="Z9" s="67"/>
      <c r="AA9" s="67"/>
      <c r="AB9" s="70"/>
      <c r="AC9" s="68"/>
      <c r="AD9" s="67"/>
      <c r="AE9" s="67"/>
      <c r="AF9" s="67"/>
      <c r="AG9" s="70"/>
      <c r="AH9" s="68"/>
      <c r="AI9" s="67"/>
      <c r="AJ9" s="67"/>
      <c r="AK9" s="67"/>
      <c r="AL9" s="69"/>
      <c r="AM9" s="68"/>
      <c r="AN9" s="67"/>
      <c r="AO9" s="71"/>
      <c r="AP9" s="67"/>
      <c r="AQ9" s="70"/>
      <c r="AR9" s="68"/>
      <c r="AS9" s="67"/>
      <c r="AT9" s="71"/>
      <c r="AU9" s="67"/>
      <c r="AV9" s="80"/>
      <c r="AW9" s="68"/>
      <c r="AX9" s="67"/>
      <c r="AY9" s="71"/>
      <c r="AZ9" s="67"/>
      <c r="BA9" s="80"/>
      <c r="BB9" s="68"/>
      <c r="BC9" s="67"/>
      <c r="BD9" s="71"/>
      <c r="BE9" s="67"/>
      <c r="BF9" s="80"/>
      <c r="BG9" s="68"/>
      <c r="BH9" s="67"/>
      <c r="BI9" s="71"/>
      <c r="BJ9" s="67"/>
      <c r="BK9" s="80"/>
      <c r="BL9" s="68"/>
      <c r="BM9" s="110"/>
      <c r="BN9" s="380"/>
      <c r="BO9" s="376"/>
      <c r="BP9" s="80"/>
    </row>
    <row r="10" spans="1:70" s="2" customFormat="1" ht="45" customHeight="1" x14ac:dyDescent="0.2">
      <c r="A10" s="392">
        <v>5</v>
      </c>
      <c r="B10" s="528"/>
      <c r="C10" s="299" t="s">
        <v>89</v>
      </c>
      <c r="D10" s="311" t="s">
        <v>90</v>
      </c>
      <c r="E10" s="290" t="s">
        <v>91</v>
      </c>
      <c r="F10" s="308" t="s">
        <v>92</v>
      </c>
      <c r="G10" s="308" t="s">
        <v>93</v>
      </c>
      <c r="H10" s="313" t="s">
        <v>79</v>
      </c>
      <c r="I10" s="9"/>
      <c r="J10" s="23"/>
      <c r="K10" s="83"/>
      <c r="L10" s="84"/>
      <c r="M10" s="86"/>
      <c r="N10" s="83"/>
      <c r="O10" s="84"/>
      <c r="P10" s="84"/>
      <c r="Q10" s="8"/>
      <c r="R10" s="10"/>
      <c r="S10" s="9"/>
      <c r="T10" s="8"/>
      <c r="U10" s="8"/>
      <c r="V10" s="8"/>
      <c r="W10" s="10"/>
      <c r="X10" s="31"/>
      <c r="Y10" s="8"/>
      <c r="Z10" s="8"/>
      <c r="AA10" s="8"/>
      <c r="AB10" s="10"/>
      <c r="AC10" s="9"/>
      <c r="AD10" s="8"/>
      <c r="AE10" s="8"/>
      <c r="AF10" s="8"/>
      <c r="AG10" s="10"/>
      <c r="AH10" s="9"/>
      <c r="AI10" s="8"/>
      <c r="AJ10" s="8"/>
      <c r="AK10" s="8"/>
      <c r="AL10" s="23"/>
      <c r="AM10" s="9"/>
      <c r="AN10" s="8"/>
      <c r="AO10" s="23"/>
      <c r="AP10" s="8"/>
      <c r="AQ10" s="10"/>
      <c r="AR10" s="9"/>
      <c r="AS10" s="8"/>
      <c r="AT10" s="23"/>
      <c r="AU10" s="8"/>
      <c r="AV10" s="80"/>
      <c r="AW10" s="8"/>
      <c r="AX10" s="8"/>
      <c r="AY10" s="23"/>
      <c r="AZ10" s="8"/>
      <c r="BA10" s="80"/>
      <c r="BB10" s="9"/>
      <c r="BC10" s="8"/>
      <c r="BD10" s="23"/>
      <c r="BE10" s="8"/>
      <c r="BF10" s="80"/>
      <c r="BG10" s="9"/>
      <c r="BH10" s="8"/>
      <c r="BI10" s="23"/>
      <c r="BJ10" s="8"/>
      <c r="BK10" s="80"/>
      <c r="BL10" s="9"/>
      <c r="BM10" s="112"/>
      <c r="BN10" s="119"/>
      <c r="BO10" s="377"/>
      <c r="BP10" s="80"/>
    </row>
    <row r="11" spans="1:70" s="2" customFormat="1" ht="45" customHeight="1" x14ac:dyDescent="0.2">
      <c r="A11" s="392">
        <v>6</v>
      </c>
      <c r="B11" s="528"/>
      <c r="C11" s="299" t="s">
        <v>94</v>
      </c>
      <c r="D11" s="314" t="s">
        <v>95</v>
      </c>
      <c r="E11" s="290" t="s">
        <v>96</v>
      </c>
      <c r="F11" s="308"/>
      <c r="G11" s="308" t="s">
        <v>93</v>
      </c>
      <c r="H11" s="313" t="s">
        <v>79</v>
      </c>
      <c r="I11" s="9"/>
      <c r="J11" s="23"/>
      <c r="K11" s="83"/>
      <c r="L11" s="84"/>
      <c r="M11" s="86"/>
      <c r="N11" s="83"/>
      <c r="O11" s="84"/>
      <c r="P11" s="84"/>
      <c r="Q11" s="8"/>
      <c r="R11" s="10"/>
      <c r="S11" s="9"/>
      <c r="T11" s="8"/>
      <c r="U11" s="8"/>
      <c r="V11" s="8"/>
      <c r="W11" s="10"/>
      <c r="X11" s="31"/>
      <c r="Y11" s="8"/>
      <c r="Z11" s="8"/>
      <c r="AA11" s="8"/>
      <c r="AB11" s="10"/>
      <c r="AC11" s="9"/>
      <c r="AD11" s="8"/>
      <c r="AE11" s="8"/>
      <c r="AF11" s="8"/>
      <c r="AG11" s="10"/>
      <c r="AH11" s="9"/>
      <c r="AI11" s="8"/>
      <c r="AJ11" s="8"/>
      <c r="AK11" s="8"/>
      <c r="AL11" s="23"/>
      <c r="AM11" s="9"/>
      <c r="AN11" s="8"/>
      <c r="AO11" s="23"/>
      <c r="AP11" s="8"/>
      <c r="AQ11" s="10"/>
      <c r="AR11" s="9"/>
      <c r="AS11" s="8"/>
      <c r="AT11" s="23"/>
      <c r="AU11" s="8"/>
      <c r="AV11" s="80"/>
      <c r="AW11" s="31"/>
      <c r="AX11" s="8"/>
      <c r="AY11" s="23"/>
      <c r="AZ11" s="8"/>
      <c r="BA11" s="80"/>
      <c r="BB11" s="9"/>
      <c r="BC11" s="8"/>
      <c r="BD11" s="23"/>
      <c r="BE11" s="8"/>
      <c r="BF11" s="80"/>
      <c r="BG11" s="9"/>
      <c r="BH11" s="8"/>
      <c r="BI11" s="23"/>
      <c r="BJ11" s="8"/>
      <c r="BK11" s="80"/>
      <c r="BL11" s="9"/>
      <c r="BM11" s="112"/>
      <c r="BN11" s="119"/>
      <c r="BO11" s="377"/>
      <c r="BP11" s="80"/>
    </row>
    <row r="12" spans="1:70" s="2" customFormat="1" ht="45" customHeight="1" x14ac:dyDescent="0.2">
      <c r="A12" s="392">
        <v>7</v>
      </c>
      <c r="B12" s="528"/>
      <c r="C12" s="299" t="s">
        <v>97</v>
      </c>
      <c r="D12" s="314" t="s">
        <v>98</v>
      </c>
      <c r="E12" s="290" t="s">
        <v>99</v>
      </c>
      <c r="F12" s="308" t="s">
        <v>92</v>
      </c>
      <c r="G12" s="308" t="s">
        <v>92</v>
      </c>
      <c r="H12" s="313" t="s">
        <v>79</v>
      </c>
      <c r="I12" s="83"/>
      <c r="J12" s="86"/>
      <c r="K12" s="83"/>
      <c r="L12" s="84"/>
      <c r="M12" s="86"/>
      <c r="N12" s="83"/>
      <c r="O12" s="84"/>
      <c r="P12" s="84"/>
      <c r="Q12" s="84"/>
      <c r="R12" s="85"/>
      <c r="S12" s="83"/>
      <c r="T12" s="84"/>
      <c r="U12" s="84"/>
      <c r="V12" s="84"/>
      <c r="W12" s="85"/>
      <c r="X12" s="349"/>
      <c r="Y12" s="84"/>
      <c r="Z12" s="84"/>
      <c r="AA12" s="84"/>
      <c r="AB12" s="85"/>
      <c r="AC12" s="83"/>
      <c r="AD12" s="84"/>
      <c r="AE12" s="84"/>
      <c r="AF12" s="84"/>
      <c r="AG12" s="85"/>
      <c r="AH12" s="83"/>
      <c r="AI12" s="84"/>
      <c r="AJ12" s="84"/>
      <c r="AK12" s="84"/>
      <c r="AL12" s="86"/>
      <c r="AM12" s="83"/>
      <c r="AN12" s="84"/>
      <c r="AO12" s="84"/>
      <c r="AP12" s="84"/>
      <c r="AQ12" s="85"/>
      <c r="AR12" s="83"/>
      <c r="AS12" s="84"/>
      <c r="AT12" s="84"/>
      <c r="AU12" s="84"/>
      <c r="AV12" s="80"/>
      <c r="AW12" s="83"/>
      <c r="AX12" s="84"/>
      <c r="AY12" s="8"/>
      <c r="AZ12" s="84"/>
      <c r="BA12" s="80"/>
      <c r="BB12" s="83"/>
      <c r="BC12" s="84"/>
      <c r="BD12" s="84"/>
      <c r="BE12" s="84"/>
      <c r="BF12" s="80"/>
      <c r="BG12" s="83"/>
      <c r="BH12" s="84"/>
      <c r="BI12" s="84"/>
      <c r="BJ12" s="84"/>
      <c r="BK12" s="80"/>
      <c r="BL12" s="83"/>
      <c r="BM12" s="84"/>
      <c r="BN12" s="85"/>
      <c r="BO12" s="378"/>
      <c r="BP12" s="80"/>
    </row>
    <row r="13" spans="1:70" s="2" customFormat="1" ht="45" customHeight="1" x14ac:dyDescent="0.2">
      <c r="A13" s="392">
        <v>8</v>
      </c>
      <c r="B13" s="528"/>
      <c r="C13" s="299" t="s">
        <v>100</v>
      </c>
      <c r="D13" s="314" t="s">
        <v>101</v>
      </c>
      <c r="E13" s="290" t="s">
        <v>102</v>
      </c>
      <c r="F13" s="308" t="s">
        <v>92</v>
      </c>
      <c r="G13" s="308" t="s">
        <v>92</v>
      </c>
      <c r="H13" s="313" t="s">
        <v>79</v>
      </c>
      <c r="I13" s="83"/>
      <c r="J13" s="86"/>
      <c r="K13" s="83"/>
      <c r="L13" s="84"/>
      <c r="M13" s="86"/>
      <c r="N13" s="83"/>
      <c r="O13" s="84"/>
      <c r="P13" s="84"/>
      <c r="Q13" s="84"/>
      <c r="R13" s="85"/>
      <c r="S13" s="83"/>
      <c r="T13" s="84"/>
      <c r="U13" s="84"/>
      <c r="V13" s="84"/>
      <c r="W13" s="85"/>
      <c r="X13" s="349"/>
      <c r="Y13" s="84"/>
      <c r="Z13" s="84"/>
      <c r="AA13" s="84"/>
      <c r="AB13" s="85"/>
      <c r="AC13" s="83"/>
      <c r="AD13" s="84"/>
      <c r="AE13" s="84"/>
      <c r="AF13" s="84"/>
      <c r="AG13" s="85"/>
      <c r="AH13" s="83"/>
      <c r="AI13" s="84"/>
      <c r="AJ13" s="84"/>
      <c r="AK13" s="84"/>
      <c r="AL13" s="86"/>
      <c r="AM13" s="83"/>
      <c r="AN13" s="84"/>
      <c r="AO13" s="84"/>
      <c r="AP13" s="84"/>
      <c r="AQ13" s="85"/>
      <c r="AR13" s="117"/>
      <c r="AS13" s="108"/>
      <c r="AT13" s="108"/>
      <c r="AU13" s="108"/>
      <c r="AV13" s="80"/>
      <c r="AW13" s="83"/>
      <c r="AX13" s="84"/>
      <c r="AY13" s="8"/>
      <c r="AZ13" s="84"/>
      <c r="BA13" s="80"/>
      <c r="BB13" s="83"/>
      <c r="BC13" s="84"/>
      <c r="BD13" s="84"/>
      <c r="BE13" s="84"/>
      <c r="BF13" s="80"/>
      <c r="BG13" s="83"/>
      <c r="BH13" s="84"/>
      <c r="BI13" s="84"/>
      <c r="BJ13" s="84"/>
      <c r="BK13" s="80"/>
      <c r="BL13" s="83"/>
      <c r="BM13" s="84"/>
      <c r="BN13" s="85"/>
      <c r="BO13" s="378"/>
      <c r="BP13" s="80"/>
    </row>
    <row r="14" spans="1:70" s="2" customFormat="1" ht="45" customHeight="1" x14ac:dyDescent="0.2">
      <c r="A14" s="392">
        <v>9</v>
      </c>
      <c r="B14" s="528"/>
      <c r="C14" s="299" t="s">
        <v>103</v>
      </c>
      <c r="D14" s="314" t="s">
        <v>104</v>
      </c>
      <c r="E14" s="290" t="s">
        <v>105</v>
      </c>
      <c r="F14" s="308" t="s">
        <v>92</v>
      </c>
      <c r="G14" s="308" t="s">
        <v>92</v>
      </c>
      <c r="H14" s="313" t="s">
        <v>79</v>
      </c>
      <c r="I14" s="83"/>
      <c r="J14" s="86"/>
      <c r="K14" s="83"/>
      <c r="L14" s="84"/>
      <c r="M14" s="86"/>
      <c r="N14" s="83"/>
      <c r="O14" s="84"/>
      <c r="P14" s="84"/>
      <c r="Q14" s="84"/>
      <c r="R14" s="85"/>
      <c r="S14" s="83"/>
      <c r="T14" s="84"/>
      <c r="U14" s="84"/>
      <c r="V14" s="84"/>
      <c r="W14" s="85"/>
      <c r="X14" s="349"/>
      <c r="Y14" s="84"/>
      <c r="Z14" s="84"/>
      <c r="AA14" s="84"/>
      <c r="AB14" s="85"/>
      <c r="AC14" s="83"/>
      <c r="AD14" s="84"/>
      <c r="AE14" s="84"/>
      <c r="AF14" s="84"/>
      <c r="AG14" s="85"/>
      <c r="AH14" s="83"/>
      <c r="AI14" s="84"/>
      <c r="AJ14" s="84"/>
      <c r="AK14" s="84"/>
      <c r="AL14" s="86"/>
      <c r="AM14" s="83"/>
      <c r="AN14" s="84"/>
      <c r="AO14" s="84"/>
      <c r="AP14" s="84"/>
      <c r="AQ14" s="85"/>
      <c r="AR14" s="117"/>
      <c r="AS14" s="121"/>
      <c r="AT14" s="121"/>
      <c r="AU14" s="108"/>
      <c r="AV14" s="80"/>
      <c r="AW14" s="87"/>
      <c r="AX14" s="8"/>
      <c r="AY14" s="84"/>
      <c r="AZ14" s="84"/>
      <c r="BA14" s="80"/>
      <c r="BB14" s="87"/>
      <c r="BC14" s="84"/>
      <c r="BD14" s="98"/>
      <c r="BE14" s="84"/>
      <c r="BF14" s="80"/>
      <c r="BG14" s="83"/>
      <c r="BH14" s="84"/>
      <c r="BI14" s="84"/>
      <c r="BJ14" s="84"/>
      <c r="BK14" s="80"/>
      <c r="BL14" s="83"/>
      <c r="BM14" s="84"/>
      <c r="BN14" s="85"/>
      <c r="BO14" s="378"/>
      <c r="BP14" s="80"/>
    </row>
    <row r="15" spans="1:70" s="2" customFormat="1" ht="45" customHeight="1" x14ac:dyDescent="0.2">
      <c r="A15" s="392">
        <v>10</v>
      </c>
      <c r="B15" s="528"/>
      <c r="C15" s="299" t="s">
        <v>106</v>
      </c>
      <c r="D15" s="314" t="s">
        <v>107</v>
      </c>
      <c r="E15" s="290" t="s">
        <v>108</v>
      </c>
      <c r="F15" s="308" t="s">
        <v>92</v>
      </c>
      <c r="G15" s="308" t="s">
        <v>92</v>
      </c>
      <c r="H15" s="313" t="s">
        <v>79</v>
      </c>
      <c r="I15" s="83"/>
      <c r="J15" s="86"/>
      <c r="K15" s="83"/>
      <c r="L15" s="84"/>
      <c r="M15" s="86"/>
      <c r="N15" s="83"/>
      <c r="O15" s="84"/>
      <c r="P15" s="84"/>
      <c r="Q15" s="84"/>
      <c r="R15" s="85"/>
      <c r="S15" s="83"/>
      <c r="T15" s="84"/>
      <c r="U15" s="84"/>
      <c r="V15" s="84"/>
      <c r="W15" s="85"/>
      <c r="X15" s="349"/>
      <c r="Y15" s="84"/>
      <c r="Z15" s="84"/>
      <c r="AA15" s="84"/>
      <c r="AB15" s="85"/>
      <c r="AC15" s="83"/>
      <c r="AD15" s="84"/>
      <c r="AE15" s="84"/>
      <c r="AF15" s="84"/>
      <c r="AG15" s="85"/>
      <c r="AH15" s="83"/>
      <c r="AI15" s="84"/>
      <c r="AJ15" s="84"/>
      <c r="AK15" s="84"/>
      <c r="AL15" s="86"/>
      <c r="AM15" s="83"/>
      <c r="AN15" s="84"/>
      <c r="AO15" s="84"/>
      <c r="AP15" s="84"/>
      <c r="AQ15" s="85"/>
      <c r="AR15" s="117"/>
      <c r="AS15" s="108"/>
      <c r="AT15" s="113"/>
      <c r="AU15" s="108"/>
      <c r="AV15" s="80"/>
      <c r="AW15" s="87"/>
      <c r="AX15" s="8"/>
      <c r="AY15" s="8"/>
      <c r="AZ15" s="84"/>
      <c r="BA15" s="80"/>
      <c r="BB15" s="87"/>
      <c r="BC15" s="84"/>
      <c r="BD15" s="84"/>
      <c r="BE15" s="84"/>
      <c r="BF15" s="80"/>
      <c r="BG15" s="83"/>
      <c r="BH15" s="84"/>
      <c r="BI15" s="84"/>
      <c r="BJ15" s="84"/>
      <c r="BK15" s="80"/>
      <c r="BL15" s="83"/>
      <c r="BM15" s="84"/>
      <c r="BN15" s="85"/>
      <c r="BO15" s="378"/>
      <c r="BP15" s="80"/>
    </row>
    <row r="16" spans="1:70" s="2" customFormat="1" ht="45" customHeight="1" x14ac:dyDescent="0.2">
      <c r="A16" s="392">
        <v>11</v>
      </c>
      <c r="B16" s="528"/>
      <c r="C16" s="299" t="s">
        <v>109</v>
      </c>
      <c r="D16" s="314" t="s">
        <v>110</v>
      </c>
      <c r="E16" s="290" t="s">
        <v>111</v>
      </c>
      <c r="F16" s="308" t="s">
        <v>92</v>
      </c>
      <c r="G16" s="308" t="s">
        <v>92</v>
      </c>
      <c r="H16" s="313" t="s">
        <v>79</v>
      </c>
      <c r="I16" s="83"/>
      <c r="J16" s="86"/>
      <c r="K16" s="83"/>
      <c r="L16" s="84"/>
      <c r="M16" s="86"/>
      <c r="N16" s="83"/>
      <c r="O16" s="84"/>
      <c r="P16" s="84"/>
      <c r="Q16" s="84"/>
      <c r="R16" s="85"/>
      <c r="S16" s="83"/>
      <c r="T16" s="84"/>
      <c r="U16" s="84"/>
      <c r="V16" s="84"/>
      <c r="W16" s="85"/>
      <c r="X16" s="349"/>
      <c r="Y16" s="84"/>
      <c r="Z16" s="84"/>
      <c r="AA16" s="84"/>
      <c r="AB16" s="85"/>
      <c r="AC16" s="83"/>
      <c r="AD16" s="84"/>
      <c r="AE16" s="84"/>
      <c r="AF16" s="84"/>
      <c r="AG16" s="85"/>
      <c r="AH16" s="83"/>
      <c r="AI16" s="84"/>
      <c r="AJ16" s="84"/>
      <c r="AK16" s="84"/>
      <c r="AL16" s="86"/>
      <c r="AM16" s="83"/>
      <c r="AN16" s="84"/>
      <c r="AO16" s="84"/>
      <c r="AP16" s="84"/>
      <c r="AQ16" s="85"/>
      <c r="AR16" s="117"/>
      <c r="AS16" s="108"/>
      <c r="AT16" s="121"/>
      <c r="AU16" s="108"/>
      <c r="AV16" s="80"/>
      <c r="AW16" s="87"/>
      <c r="AX16" s="8"/>
      <c r="AY16" s="8"/>
      <c r="AZ16" s="84"/>
      <c r="BA16" s="80"/>
      <c r="BB16" s="87"/>
      <c r="BC16" s="84"/>
      <c r="BD16" s="98"/>
      <c r="BE16" s="84"/>
      <c r="BF16" s="80"/>
      <c r="BG16" s="83"/>
      <c r="BH16" s="84"/>
      <c r="BI16" s="84"/>
      <c r="BJ16" s="84"/>
      <c r="BK16" s="80"/>
      <c r="BL16" s="83"/>
      <c r="BM16" s="84"/>
      <c r="BN16" s="85"/>
      <c r="BO16" s="378"/>
      <c r="BP16" s="80"/>
    </row>
    <row r="17" spans="1:68" s="2" customFormat="1" ht="45" customHeight="1" x14ac:dyDescent="0.2">
      <c r="A17" s="392">
        <v>12</v>
      </c>
      <c r="B17" s="528"/>
      <c r="C17" s="299" t="s">
        <v>112</v>
      </c>
      <c r="D17" s="314" t="s">
        <v>113</v>
      </c>
      <c r="E17" s="290" t="s">
        <v>114</v>
      </c>
      <c r="F17" s="308" t="s">
        <v>92</v>
      </c>
      <c r="G17" s="308" t="s">
        <v>92</v>
      </c>
      <c r="H17" s="313" t="s">
        <v>115</v>
      </c>
      <c r="I17" s="107"/>
      <c r="J17" s="115"/>
      <c r="K17" s="107"/>
      <c r="L17" s="108"/>
      <c r="M17" s="115"/>
      <c r="N17" s="107"/>
      <c r="O17" s="108"/>
      <c r="P17" s="108"/>
      <c r="Q17" s="108"/>
      <c r="R17" s="109"/>
      <c r="S17" s="107"/>
      <c r="T17" s="108"/>
      <c r="U17" s="108"/>
      <c r="V17" s="108"/>
      <c r="W17" s="109"/>
      <c r="X17" s="114"/>
      <c r="Y17" s="108"/>
      <c r="Z17" s="108"/>
      <c r="AA17" s="108"/>
      <c r="AB17" s="109"/>
      <c r="AC17" s="83"/>
      <c r="AD17" s="84"/>
      <c r="AE17" s="84"/>
      <c r="AF17" s="84"/>
      <c r="AG17" s="85"/>
      <c r="AH17" s="83"/>
      <c r="AI17" s="84"/>
      <c r="AJ17" s="84"/>
      <c r="AK17" s="84"/>
      <c r="AL17" s="86"/>
      <c r="AM17" s="83"/>
      <c r="AN17" s="84"/>
      <c r="AO17" s="84"/>
      <c r="AP17" s="84"/>
      <c r="AQ17" s="85"/>
      <c r="AR17" s="87"/>
      <c r="AS17" s="84"/>
      <c r="AT17" s="84"/>
      <c r="AU17" s="84"/>
      <c r="AV17" s="80"/>
      <c r="AW17" s="87"/>
      <c r="AX17" s="8"/>
      <c r="AY17" s="8"/>
      <c r="AZ17" s="84"/>
      <c r="BA17" s="80"/>
      <c r="BB17" s="87"/>
      <c r="BC17" s="84"/>
      <c r="BD17" s="84"/>
      <c r="BE17" s="84"/>
      <c r="BF17" s="80"/>
      <c r="BG17" s="83"/>
      <c r="BH17" s="84"/>
      <c r="BI17" s="84"/>
      <c r="BJ17" s="84"/>
      <c r="BK17" s="80"/>
      <c r="BL17" s="83"/>
      <c r="BM17" s="84"/>
      <c r="BN17" s="85"/>
      <c r="BO17" s="378"/>
      <c r="BP17" s="80"/>
    </row>
    <row r="18" spans="1:68" s="2" customFormat="1" ht="45" customHeight="1" x14ac:dyDescent="0.2">
      <c r="A18" s="392">
        <v>13</v>
      </c>
      <c r="B18" s="528"/>
      <c r="C18" s="299" t="s">
        <v>116</v>
      </c>
      <c r="D18" s="314" t="s">
        <v>117</v>
      </c>
      <c r="E18" s="290" t="s">
        <v>118</v>
      </c>
      <c r="F18" s="308" t="s">
        <v>92</v>
      </c>
      <c r="G18" s="308" t="s">
        <v>92</v>
      </c>
      <c r="H18" s="313" t="s">
        <v>79</v>
      </c>
      <c r="I18" s="107"/>
      <c r="J18" s="115"/>
      <c r="K18" s="107"/>
      <c r="L18" s="108"/>
      <c r="M18" s="115"/>
      <c r="N18" s="107"/>
      <c r="O18" s="108"/>
      <c r="P18" s="108"/>
      <c r="Q18" s="108"/>
      <c r="R18" s="109"/>
      <c r="S18" s="107"/>
      <c r="T18" s="108"/>
      <c r="U18" s="108"/>
      <c r="V18" s="108"/>
      <c r="W18" s="109"/>
      <c r="X18" s="114"/>
      <c r="Y18" s="108"/>
      <c r="Z18" s="108"/>
      <c r="AA18" s="108"/>
      <c r="AB18" s="109"/>
      <c r="AC18" s="83"/>
      <c r="AD18" s="84"/>
      <c r="AE18" s="84"/>
      <c r="AF18" s="84"/>
      <c r="AG18" s="85"/>
      <c r="AH18" s="83"/>
      <c r="AI18" s="84"/>
      <c r="AJ18" s="84"/>
      <c r="AK18" s="84"/>
      <c r="AL18" s="86"/>
      <c r="AM18" s="83"/>
      <c r="AN18" s="108"/>
      <c r="AO18" s="115"/>
      <c r="AP18" s="108"/>
      <c r="AQ18" s="109"/>
      <c r="AR18" s="117"/>
      <c r="AS18" s="108"/>
      <c r="AT18" s="115"/>
      <c r="AU18" s="84"/>
      <c r="AV18" s="80"/>
      <c r="AW18" s="87"/>
      <c r="AX18" s="8"/>
      <c r="AY18" s="8"/>
      <c r="AZ18" s="84"/>
      <c r="BA18" s="80"/>
      <c r="BB18" s="87"/>
      <c r="BC18" s="84"/>
      <c r="BD18" s="84"/>
      <c r="BE18" s="84"/>
      <c r="BF18" s="80"/>
      <c r="BG18" s="83"/>
      <c r="BH18" s="84"/>
      <c r="BI18" s="112"/>
      <c r="BJ18" s="84"/>
      <c r="BK18" s="80"/>
      <c r="BL18" s="83"/>
      <c r="BM18" s="84"/>
      <c r="BN18" s="119"/>
      <c r="BO18" s="378"/>
      <c r="BP18" s="80"/>
    </row>
    <row r="19" spans="1:68" s="2" customFormat="1" ht="45" customHeight="1" thickBot="1" x14ac:dyDescent="0.25">
      <c r="A19" s="392">
        <v>14</v>
      </c>
      <c r="B19" s="529"/>
      <c r="C19" s="302" t="s">
        <v>119</v>
      </c>
      <c r="D19" s="321" t="s">
        <v>120</v>
      </c>
      <c r="E19" s="297" t="s">
        <v>121</v>
      </c>
      <c r="F19" s="322" t="s">
        <v>92</v>
      </c>
      <c r="G19" s="322" t="s">
        <v>92</v>
      </c>
      <c r="H19" s="323" t="s">
        <v>79</v>
      </c>
      <c r="I19" s="393"/>
      <c r="J19" s="394"/>
      <c r="K19" s="477">
        <v>0.95920000000000005</v>
      </c>
      <c r="L19" s="396"/>
      <c r="M19" s="394"/>
      <c r="N19" s="395"/>
      <c r="O19" s="397"/>
      <c r="P19" s="398" t="e">
        <f>AVERAGE(P10:P18)</f>
        <v>#DIV/0!</v>
      </c>
      <c r="Q19" s="397"/>
      <c r="R19" s="399"/>
      <c r="S19" s="395"/>
      <c r="T19" s="397"/>
      <c r="U19" s="397">
        <v>0.95609999999999995</v>
      </c>
      <c r="V19" s="397"/>
      <c r="W19" s="399"/>
      <c r="X19" s="400"/>
      <c r="Y19" s="397"/>
      <c r="Z19" s="397">
        <v>0.95609999999999995</v>
      </c>
      <c r="AA19" s="397"/>
      <c r="AB19" s="401"/>
      <c r="AC19" s="402"/>
      <c r="AD19" s="403"/>
      <c r="AE19" s="403">
        <v>0.83709999999999996</v>
      </c>
      <c r="AF19" s="403"/>
      <c r="AG19" s="404"/>
      <c r="AH19" s="402"/>
      <c r="AI19" s="403"/>
      <c r="AJ19" s="403">
        <v>0.93989999999999996</v>
      </c>
      <c r="AK19" s="403"/>
      <c r="AL19" s="405"/>
      <c r="AM19" s="402"/>
      <c r="AN19" s="403"/>
      <c r="AO19" s="403">
        <v>0.9405</v>
      </c>
      <c r="AP19" s="403"/>
      <c r="AQ19" s="404"/>
      <c r="AR19" s="402"/>
      <c r="AS19" s="403"/>
      <c r="AT19" s="403">
        <v>0.96919999999999995</v>
      </c>
      <c r="AU19" s="403"/>
      <c r="AV19" s="82"/>
      <c r="AW19" s="402"/>
      <c r="AX19" s="403"/>
      <c r="AY19" s="403">
        <v>0.97350000000000003</v>
      </c>
      <c r="AZ19" s="403">
        <v>0.97350000000000003</v>
      </c>
      <c r="BA19" s="403">
        <v>0.97350000000000003</v>
      </c>
      <c r="BB19" s="403">
        <v>0.97350000000000003</v>
      </c>
      <c r="BC19" s="403">
        <v>0.97350000000000003</v>
      </c>
      <c r="BD19" s="403">
        <v>0.97609999999999997</v>
      </c>
      <c r="BE19" s="403"/>
      <c r="BF19" s="82"/>
      <c r="BG19" s="402"/>
      <c r="BH19" s="403"/>
      <c r="BI19" s="403"/>
      <c r="BJ19" s="403"/>
      <c r="BK19" s="406"/>
      <c r="BL19" s="407"/>
      <c r="BM19" s="408"/>
      <c r="BN19" s="409"/>
      <c r="BO19" s="378"/>
      <c r="BP19" s="251"/>
    </row>
    <row r="20" spans="1:68" s="2" customFormat="1" ht="36.950000000000003" customHeight="1" x14ac:dyDescent="0.2">
      <c r="A20" s="318">
        <v>1</v>
      </c>
      <c r="B20" s="530" t="s">
        <v>122</v>
      </c>
      <c r="C20" s="301" t="s">
        <v>123</v>
      </c>
      <c r="D20" s="316" t="s">
        <v>124</v>
      </c>
      <c r="E20" s="296" t="s">
        <v>125</v>
      </c>
      <c r="F20" s="306" t="s">
        <v>126</v>
      </c>
      <c r="G20" s="306" t="s">
        <v>126</v>
      </c>
      <c r="H20" s="317" t="s">
        <v>115</v>
      </c>
      <c r="I20" s="410"/>
      <c r="J20" s="411"/>
      <c r="K20" s="410"/>
      <c r="L20" s="411"/>
      <c r="M20" s="411"/>
      <c r="N20" s="410"/>
      <c r="O20" s="411"/>
      <c r="P20" s="411"/>
      <c r="Q20" s="411"/>
      <c r="R20" s="379"/>
      <c r="S20" s="412"/>
      <c r="T20" s="65"/>
      <c r="U20" s="65"/>
      <c r="V20" s="65"/>
      <c r="W20" s="66"/>
      <c r="X20" s="411"/>
      <c r="Y20" s="411"/>
      <c r="Z20" s="411"/>
      <c r="AA20" s="411"/>
      <c r="AB20" s="379"/>
      <c r="AC20" s="411"/>
      <c r="AD20" s="411"/>
      <c r="AE20" s="411"/>
      <c r="AF20" s="411"/>
      <c r="AG20" s="379"/>
      <c r="AH20" s="413"/>
      <c r="AI20" s="414"/>
      <c r="AJ20" s="479"/>
      <c r="AK20" s="414"/>
      <c r="AL20" s="415"/>
      <c r="AM20" s="410"/>
      <c r="AN20" s="411"/>
      <c r="AO20" s="411"/>
      <c r="AP20" s="411"/>
      <c r="AQ20" s="416"/>
      <c r="AR20" s="410"/>
      <c r="AS20" s="411"/>
      <c r="AT20" s="411"/>
      <c r="AU20" s="411"/>
      <c r="AV20" s="417"/>
      <c r="AW20" s="413"/>
      <c r="AX20" s="414"/>
      <c r="AY20" s="479"/>
      <c r="AZ20" s="414"/>
      <c r="BA20" s="416"/>
      <c r="BB20" s="410"/>
      <c r="BC20" s="411"/>
      <c r="BD20" s="411"/>
      <c r="BE20" s="411"/>
      <c r="BF20" s="416"/>
      <c r="BG20" s="410"/>
      <c r="BH20" s="411"/>
      <c r="BI20" s="411"/>
      <c r="BJ20" s="411"/>
      <c r="BK20" s="418"/>
      <c r="BL20" s="419"/>
      <c r="BM20" s="414"/>
      <c r="BN20" s="418"/>
      <c r="BO20" s="252"/>
      <c r="BP20" s="252"/>
    </row>
    <row r="21" spans="1:68" s="2" customFormat="1" ht="33.6" customHeight="1" x14ac:dyDescent="0.2">
      <c r="A21" s="318">
        <v>2</v>
      </c>
      <c r="B21" s="531"/>
      <c r="C21" s="299" t="s">
        <v>127</v>
      </c>
      <c r="D21" s="314" t="s">
        <v>128</v>
      </c>
      <c r="E21" s="290" t="s">
        <v>129</v>
      </c>
      <c r="F21" s="308"/>
      <c r="G21" s="308" t="s">
        <v>130</v>
      </c>
      <c r="H21" s="313" t="s">
        <v>115</v>
      </c>
      <c r="I21" s="79"/>
      <c r="J21" s="74"/>
      <c r="K21" s="79"/>
      <c r="L21" s="74"/>
      <c r="M21" s="74"/>
      <c r="N21" s="79"/>
      <c r="O21" s="74"/>
      <c r="P21" s="74"/>
      <c r="Q21" s="74"/>
      <c r="R21" s="80"/>
      <c r="S21" s="107"/>
      <c r="T21" s="67"/>
      <c r="U21" s="67"/>
      <c r="V21" s="67"/>
      <c r="W21" s="70"/>
      <c r="X21" s="74"/>
      <c r="Y21" s="74"/>
      <c r="Z21" s="74"/>
      <c r="AA21" s="74"/>
      <c r="AB21" s="80"/>
      <c r="AC21" s="74"/>
      <c r="AD21" s="74"/>
      <c r="AE21" s="74"/>
      <c r="AF21" s="74"/>
      <c r="AG21" s="80"/>
      <c r="AH21" s="224"/>
      <c r="AI21" s="225"/>
      <c r="AJ21" s="67"/>
      <c r="AK21" s="278"/>
      <c r="AL21" s="279"/>
      <c r="AM21" s="79"/>
      <c r="AN21" s="74"/>
      <c r="AO21" s="74"/>
      <c r="AP21" s="74"/>
      <c r="AQ21" s="10"/>
      <c r="AR21" s="79"/>
      <c r="AS21" s="74"/>
      <c r="AT21" s="74"/>
      <c r="AU21" s="74"/>
      <c r="AV21" s="280"/>
      <c r="AW21" s="224"/>
      <c r="AX21" s="225"/>
      <c r="AY21" s="67"/>
      <c r="AZ21" s="225"/>
      <c r="BA21" s="10"/>
      <c r="BB21" s="79"/>
      <c r="BC21" s="74"/>
      <c r="BD21" s="74"/>
      <c r="BE21" s="74"/>
      <c r="BF21" s="10"/>
      <c r="BG21" s="79"/>
      <c r="BH21" s="74"/>
      <c r="BI21" s="74"/>
      <c r="BJ21" s="74"/>
      <c r="BK21" s="281"/>
      <c r="BL21" s="282"/>
      <c r="BM21" s="278"/>
      <c r="BN21" s="281"/>
      <c r="BO21" s="284"/>
      <c r="BP21" s="284"/>
    </row>
    <row r="22" spans="1:68" s="2" customFormat="1" ht="35.1" customHeight="1" x14ac:dyDescent="0.2">
      <c r="A22" s="319">
        <v>3</v>
      </c>
      <c r="B22" s="531"/>
      <c r="C22" s="299" t="s">
        <v>131</v>
      </c>
      <c r="D22" s="314" t="s">
        <v>132</v>
      </c>
      <c r="E22" s="290" t="s">
        <v>133</v>
      </c>
      <c r="F22" s="308" t="s">
        <v>134</v>
      </c>
      <c r="G22" s="308" t="s">
        <v>134</v>
      </c>
      <c r="H22" s="313" t="s">
        <v>79</v>
      </c>
      <c r="I22" s="79"/>
      <c r="J22" s="74"/>
      <c r="K22" s="118"/>
      <c r="L22" s="121"/>
      <c r="M22" s="113"/>
      <c r="N22" s="117"/>
      <c r="O22" s="112"/>
      <c r="P22" s="112"/>
      <c r="Q22" s="121"/>
      <c r="R22" s="119"/>
      <c r="S22" s="87"/>
      <c r="T22" s="8"/>
      <c r="U22" s="8"/>
      <c r="V22" s="8"/>
      <c r="W22" s="10"/>
      <c r="X22" s="31"/>
      <c r="Y22" s="8"/>
      <c r="Z22" s="8"/>
      <c r="AA22" s="98"/>
      <c r="AB22" s="10"/>
      <c r="AC22" s="87"/>
      <c r="AD22" s="8"/>
      <c r="AE22" s="8"/>
      <c r="AF22" s="8"/>
      <c r="AG22" s="10"/>
      <c r="AH22" s="87"/>
      <c r="AI22" s="112"/>
      <c r="AJ22" s="112"/>
      <c r="AK22" s="8"/>
      <c r="AL22" s="23"/>
      <c r="AM22" s="87"/>
      <c r="AN22" s="8"/>
      <c r="AO22" s="8"/>
      <c r="AP22" s="98"/>
      <c r="AQ22" s="10"/>
      <c r="AR22" s="87"/>
      <c r="AS22" s="84"/>
      <c r="AT22" s="8"/>
      <c r="AU22" s="8"/>
      <c r="AV22" s="10"/>
      <c r="AW22" s="83"/>
      <c r="AX22" s="8"/>
      <c r="AY22" s="8"/>
      <c r="AZ22" s="98"/>
      <c r="BA22" s="10"/>
      <c r="BB22" s="87"/>
      <c r="BC22" s="8"/>
      <c r="BD22" s="8"/>
      <c r="BE22" s="98"/>
      <c r="BF22" s="10"/>
      <c r="BG22" s="9"/>
      <c r="BH22" s="8"/>
      <c r="BI22" s="8"/>
      <c r="BJ22" s="8"/>
      <c r="BK22" s="103"/>
      <c r="BL22" s="87"/>
      <c r="BM22" s="98"/>
      <c r="BN22" s="103"/>
      <c r="BO22" s="253"/>
      <c r="BP22" s="253"/>
    </row>
    <row r="23" spans="1:68" s="2" customFormat="1" ht="35.1" customHeight="1" x14ac:dyDescent="0.2">
      <c r="A23" s="318">
        <v>4</v>
      </c>
      <c r="B23" s="531"/>
      <c r="C23" s="300" t="s">
        <v>135</v>
      </c>
      <c r="D23" s="315" t="s">
        <v>136</v>
      </c>
      <c r="E23" s="290" t="s">
        <v>137</v>
      </c>
      <c r="F23" s="308"/>
      <c r="G23" s="308" t="s">
        <v>138</v>
      </c>
      <c r="H23" s="313" t="s">
        <v>115</v>
      </c>
      <c r="I23" s="79"/>
      <c r="J23" s="74"/>
      <c r="K23" s="79"/>
      <c r="L23" s="74"/>
      <c r="M23" s="113"/>
      <c r="N23" s="79"/>
      <c r="O23" s="74"/>
      <c r="P23" s="74"/>
      <c r="Q23" s="74"/>
      <c r="R23" s="80"/>
      <c r="S23" s="118"/>
      <c r="T23" s="108"/>
      <c r="U23" s="108"/>
      <c r="V23" s="108"/>
      <c r="W23" s="109"/>
      <c r="X23" s="74"/>
      <c r="Y23" s="74"/>
      <c r="Z23" s="74"/>
      <c r="AA23" s="74"/>
      <c r="AB23" s="80"/>
      <c r="AC23" s="74"/>
      <c r="AD23" s="74"/>
      <c r="AE23" s="74"/>
      <c r="AF23" s="74"/>
      <c r="AG23" s="80"/>
      <c r="AH23" s="117"/>
      <c r="AI23" s="73"/>
      <c r="AJ23" s="73"/>
      <c r="AK23" s="75"/>
      <c r="AL23" s="77"/>
      <c r="AM23" s="79"/>
      <c r="AN23" s="74"/>
      <c r="AO23" s="74"/>
      <c r="AP23" s="74"/>
      <c r="AQ23" s="10"/>
      <c r="AR23" s="79"/>
      <c r="AS23" s="74"/>
      <c r="AT23" s="74"/>
      <c r="AU23" s="74"/>
      <c r="AV23" s="76"/>
      <c r="AW23" s="9"/>
      <c r="AX23" s="8"/>
      <c r="AY23" s="75"/>
      <c r="AZ23" s="8"/>
      <c r="BA23" s="10"/>
      <c r="BB23" s="87"/>
      <c r="BC23" s="74"/>
      <c r="BD23" s="74"/>
      <c r="BE23" s="74"/>
      <c r="BF23" s="10"/>
      <c r="BG23" s="79"/>
      <c r="BH23" s="74"/>
      <c r="BI23" s="74"/>
      <c r="BJ23" s="74"/>
      <c r="BK23" s="102"/>
      <c r="BL23" s="101"/>
      <c r="BM23" s="99"/>
      <c r="BN23" s="102"/>
      <c r="BO23" s="253"/>
      <c r="BP23" s="253"/>
    </row>
    <row r="24" spans="1:68" s="2" customFormat="1" ht="34.5" customHeight="1" x14ac:dyDescent="0.2">
      <c r="A24" s="319">
        <v>5</v>
      </c>
      <c r="B24" s="531"/>
      <c r="C24" s="533" t="s">
        <v>139</v>
      </c>
      <c r="D24" s="535" t="s">
        <v>140</v>
      </c>
      <c r="E24" s="290" t="s">
        <v>141</v>
      </c>
      <c r="F24" s="308" t="s">
        <v>134</v>
      </c>
      <c r="G24" s="308" t="s">
        <v>134</v>
      </c>
      <c r="H24" s="313" t="s">
        <v>79</v>
      </c>
      <c r="I24" s="117"/>
      <c r="J24" s="374"/>
      <c r="K24" s="118"/>
      <c r="L24" s="121"/>
      <c r="M24" s="113"/>
      <c r="N24" s="117"/>
      <c r="O24" s="112"/>
      <c r="P24" s="112"/>
      <c r="Q24" s="121"/>
      <c r="R24" s="119"/>
      <c r="S24" s="87"/>
      <c r="T24" s="8"/>
      <c r="U24" s="8"/>
      <c r="V24" s="8"/>
      <c r="W24" s="10"/>
      <c r="X24" s="31"/>
      <c r="Y24" s="8"/>
      <c r="Z24" s="8"/>
      <c r="AA24" s="98"/>
      <c r="AB24" s="10"/>
      <c r="AC24" s="87"/>
      <c r="AD24" s="8"/>
      <c r="AE24" s="8"/>
      <c r="AF24" s="8"/>
      <c r="AG24" s="10"/>
      <c r="AH24" s="87"/>
      <c r="AI24" s="112"/>
      <c r="AJ24" s="112"/>
      <c r="AK24" s="8"/>
      <c r="AL24" s="23"/>
      <c r="AM24" s="87"/>
      <c r="AN24" s="8"/>
      <c r="AO24" s="8"/>
      <c r="AP24" s="98"/>
      <c r="AQ24" s="10"/>
      <c r="AR24" s="87"/>
      <c r="AS24" s="84"/>
      <c r="AT24" s="8"/>
      <c r="AU24" s="8"/>
      <c r="AV24" s="10"/>
      <c r="AW24" s="83"/>
      <c r="AX24" s="8"/>
      <c r="AY24" s="8"/>
      <c r="AZ24" s="98"/>
      <c r="BA24" s="10"/>
      <c r="BB24" s="87"/>
      <c r="BC24" s="8"/>
      <c r="BD24" s="8"/>
      <c r="BE24" s="98"/>
      <c r="BF24" s="10"/>
      <c r="BG24" s="9"/>
      <c r="BH24" s="8"/>
      <c r="BI24" s="8"/>
      <c r="BJ24" s="8"/>
      <c r="BK24" s="103"/>
      <c r="BL24" s="87"/>
      <c r="BM24" s="98"/>
      <c r="BN24" s="103"/>
      <c r="BO24" s="254"/>
      <c r="BP24" s="254"/>
    </row>
    <row r="25" spans="1:68" s="2" customFormat="1" ht="47.25" customHeight="1" x14ac:dyDescent="0.2">
      <c r="A25" s="318">
        <v>6</v>
      </c>
      <c r="B25" s="531"/>
      <c r="C25" s="534"/>
      <c r="D25" s="536"/>
      <c r="E25" s="290" t="s">
        <v>142</v>
      </c>
      <c r="F25" s="308"/>
      <c r="G25" s="308" t="s">
        <v>143</v>
      </c>
      <c r="H25" s="313" t="s">
        <v>79</v>
      </c>
      <c r="I25" s="117"/>
      <c r="J25" s="374"/>
      <c r="K25" s="118"/>
      <c r="L25" s="112"/>
      <c r="M25" s="74"/>
      <c r="N25" s="117"/>
      <c r="O25" s="112"/>
      <c r="P25" s="112"/>
      <c r="Q25" s="121"/>
      <c r="R25" s="119"/>
      <c r="S25" s="101"/>
      <c r="T25" s="75"/>
      <c r="U25" s="75"/>
      <c r="V25" s="99"/>
      <c r="W25" s="76"/>
      <c r="X25" s="31"/>
      <c r="Y25" s="98"/>
      <c r="Z25" s="8"/>
      <c r="AA25" s="112"/>
      <c r="AB25" s="10"/>
      <c r="AC25" s="87"/>
      <c r="AD25" s="98"/>
      <c r="AE25" s="8"/>
      <c r="AF25" s="98"/>
      <c r="AG25" s="10"/>
      <c r="AH25" s="218"/>
      <c r="AI25" s="222"/>
      <c r="AJ25" s="120"/>
      <c r="AK25" s="98"/>
      <c r="AL25" s="23"/>
      <c r="AM25" s="9"/>
      <c r="AN25" s="98"/>
      <c r="AO25" s="8"/>
      <c r="AP25" s="98"/>
      <c r="AQ25" s="10"/>
      <c r="AR25" s="9"/>
      <c r="AS25" s="84"/>
      <c r="AT25" s="8"/>
      <c r="AU25" s="8"/>
      <c r="AV25" s="10"/>
      <c r="AW25" s="83"/>
      <c r="AX25" s="8"/>
      <c r="AY25" s="8"/>
      <c r="AZ25" s="98"/>
      <c r="BA25" s="10"/>
      <c r="BB25" s="9"/>
      <c r="BC25" s="84"/>
      <c r="BD25" s="8"/>
      <c r="BE25" s="98"/>
      <c r="BF25" s="10"/>
      <c r="BG25" s="218"/>
      <c r="BH25" s="99"/>
      <c r="BI25" s="75"/>
      <c r="BJ25" s="99"/>
      <c r="BK25" s="102"/>
      <c r="BL25" s="101"/>
      <c r="BM25" s="99"/>
      <c r="BN25" s="102"/>
      <c r="BO25" s="253"/>
      <c r="BP25" s="253"/>
    </row>
    <row r="26" spans="1:68" s="2" customFormat="1" ht="30.6" customHeight="1" x14ac:dyDescent="0.2">
      <c r="A26" s="319">
        <v>7</v>
      </c>
      <c r="B26" s="531"/>
      <c r="C26" s="299" t="s">
        <v>144</v>
      </c>
      <c r="D26" s="314" t="s">
        <v>145</v>
      </c>
      <c r="E26" s="290" t="s">
        <v>146</v>
      </c>
      <c r="F26" s="308" t="s">
        <v>143</v>
      </c>
      <c r="G26" s="308" t="s">
        <v>134</v>
      </c>
      <c r="H26" s="313" t="s">
        <v>79</v>
      </c>
      <c r="I26" s="118"/>
      <c r="J26" s="113"/>
      <c r="K26" s="118"/>
      <c r="L26" s="112"/>
      <c r="M26" s="112"/>
      <c r="N26" s="112"/>
      <c r="O26" s="112"/>
      <c r="P26" s="112"/>
      <c r="Q26" s="112"/>
      <c r="R26" s="112"/>
      <c r="S26" s="8"/>
      <c r="T26" s="8"/>
      <c r="U26" s="8"/>
      <c r="V26" s="8"/>
      <c r="W26" s="8"/>
      <c r="X26" s="112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4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8"/>
      <c r="BL26" s="98"/>
      <c r="BM26" s="98"/>
      <c r="BN26" s="103"/>
      <c r="BO26" s="253"/>
      <c r="BP26" s="253"/>
    </row>
    <row r="27" spans="1:68" s="2" customFormat="1" ht="32.1" customHeight="1" x14ac:dyDescent="0.2">
      <c r="A27" s="318">
        <v>8</v>
      </c>
      <c r="B27" s="531"/>
      <c r="C27" s="299" t="s">
        <v>147</v>
      </c>
      <c r="D27" s="314" t="s">
        <v>148</v>
      </c>
      <c r="E27" s="290" t="s">
        <v>149</v>
      </c>
      <c r="F27" s="308" t="s">
        <v>134</v>
      </c>
      <c r="G27" s="308" t="s">
        <v>150</v>
      </c>
      <c r="H27" s="313" t="s">
        <v>151</v>
      </c>
      <c r="I27" s="79"/>
      <c r="J27" s="74"/>
      <c r="K27" s="79"/>
      <c r="L27" s="74"/>
      <c r="M27" s="350"/>
      <c r="N27" s="351"/>
      <c r="O27" s="352"/>
      <c r="P27" s="352"/>
      <c r="Q27" s="352"/>
      <c r="R27" s="353"/>
      <c r="S27" s="79"/>
      <c r="T27" s="74"/>
      <c r="U27" s="74"/>
      <c r="V27" s="74"/>
      <c r="W27" s="80"/>
      <c r="X27" s="354"/>
      <c r="Y27" s="73"/>
      <c r="Z27" s="73"/>
      <c r="AA27" s="73"/>
      <c r="AB27" s="355"/>
      <c r="AC27" s="79"/>
      <c r="AD27" s="74"/>
      <c r="AE27" s="358"/>
      <c r="AF27" s="358"/>
      <c r="AG27" s="8"/>
      <c r="AH27" s="8"/>
      <c r="AI27" s="8"/>
      <c r="AJ27" s="8"/>
      <c r="AK27" s="73"/>
      <c r="AL27" s="96"/>
      <c r="AM27" s="79"/>
      <c r="AN27" s="74"/>
      <c r="AO27" s="358"/>
      <c r="AP27" s="74"/>
      <c r="AQ27" s="355"/>
      <c r="AR27" s="356"/>
      <c r="AS27" s="73"/>
      <c r="AT27" s="73"/>
      <c r="AU27" s="73"/>
      <c r="AV27" s="355"/>
      <c r="AW27" s="79"/>
      <c r="AX27" s="73"/>
      <c r="AY27" s="74"/>
      <c r="AZ27" s="74"/>
      <c r="BA27" s="355"/>
      <c r="BB27" s="356"/>
      <c r="BC27" s="74"/>
      <c r="BD27" s="73"/>
      <c r="BE27" s="74"/>
      <c r="BF27" s="355"/>
      <c r="BG27" s="79"/>
      <c r="BH27" s="74"/>
      <c r="BI27" s="74"/>
      <c r="BJ27" s="74"/>
      <c r="BK27" s="100"/>
      <c r="BL27" s="282"/>
      <c r="BM27" s="283"/>
      <c r="BN27" s="100"/>
      <c r="BO27" s="253"/>
      <c r="BP27" s="254"/>
    </row>
    <row r="28" spans="1:68" s="2" customFormat="1" ht="42.95" customHeight="1" x14ac:dyDescent="0.2">
      <c r="A28" s="319">
        <v>9</v>
      </c>
      <c r="B28" s="531"/>
      <c r="C28" s="299" t="s">
        <v>375</v>
      </c>
      <c r="D28" s="314" t="s">
        <v>152</v>
      </c>
      <c r="E28" s="290" t="s">
        <v>153</v>
      </c>
      <c r="F28" s="308"/>
      <c r="G28" s="308" t="s">
        <v>154</v>
      </c>
      <c r="H28" s="313" t="s">
        <v>115</v>
      </c>
      <c r="I28" s="79"/>
      <c r="J28" s="74"/>
      <c r="K28" s="79"/>
      <c r="L28" s="74"/>
      <c r="M28" s="74"/>
      <c r="N28" s="74"/>
      <c r="O28" s="74"/>
      <c r="P28" s="74"/>
      <c r="Q28" s="74"/>
      <c r="R28" s="74"/>
      <c r="S28" s="74"/>
      <c r="T28" s="74"/>
      <c r="U28" s="8"/>
      <c r="V28" s="74"/>
      <c r="W28" s="80"/>
      <c r="X28" s="286"/>
      <c r="Y28" s="286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3"/>
      <c r="AK28" s="74"/>
      <c r="AL28" s="80"/>
      <c r="AM28" s="286"/>
      <c r="AN28" s="286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8"/>
      <c r="AZ28" s="74"/>
      <c r="BA28" s="80"/>
      <c r="BB28" s="286"/>
      <c r="BC28" s="286"/>
      <c r="BD28" s="74"/>
      <c r="BE28" s="74"/>
      <c r="BF28" s="74"/>
      <c r="BG28" s="74"/>
      <c r="BH28" s="74"/>
      <c r="BI28" s="74"/>
      <c r="BJ28" s="74"/>
      <c r="BK28" s="284"/>
      <c r="BL28" s="101"/>
      <c r="BM28" s="99"/>
      <c r="BN28" s="103"/>
      <c r="BO28" s="253"/>
      <c r="BP28" s="284"/>
    </row>
    <row r="29" spans="1:68" s="2" customFormat="1" ht="39.950000000000003" customHeight="1" x14ac:dyDescent="0.2">
      <c r="A29" s="318">
        <v>10</v>
      </c>
      <c r="B29" s="531"/>
      <c r="C29" s="299" t="s">
        <v>155</v>
      </c>
      <c r="D29" s="314" t="s">
        <v>156</v>
      </c>
      <c r="E29" s="290" t="s">
        <v>157</v>
      </c>
      <c r="F29" s="308"/>
      <c r="G29" s="308" t="s">
        <v>134</v>
      </c>
      <c r="H29" s="313" t="s">
        <v>79</v>
      </c>
      <c r="I29" s="79"/>
      <c r="J29" s="74"/>
      <c r="K29" s="118"/>
      <c r="L29" s="74"/>
      <c r="M29" s="74"/>
      <c r="N29" s="74"/>
      <c r="O29" s="74"/>
      <c r="P29" s="112"/>
      <c r="Q29" s="74"/>
      <c r="R29" s="74"/>
      <c r="S29" s="74"/>
      <c r="T29" s="74"/>
      <c r="U29" s="112"/>
      <c r="V29" s="74"/>
      <c r="W29" s="80"/>
      <c r="X29" s="286"/>
      <c r="Y29" s="286"/>
      <c r="Z29" s="112"/>
      <c r="AA29" s="286"/>
      <c r="AB29" s="287"/>
      <c r="AC29" s="79"/>
      <c r="AD29" s="74"/>
      <c r="AE29" s="112"/>
      <c r="AF29" s="80"/>
      <c r="AG29" s="10"/>
      <c r="AH29" s="9"/>
      <c r="AI29" s="75"/>
      <c r="AJ29" s="75"/>
      <c r="AK29" s="8"/>
      <c r="AL29" s="23"/>
      <c r="AM29" s="79"/>
      <c r="AN29" s="74"/>
      <c r="AO29" s="112"/>
      <c r="AP29" s="74"/>
      <c r="AQ29" s="287"/>
      <c r="AR29" s="288"/>
      <c r="AS29" s="286"/>
      <c r="AT29" s="112"/>
      <c r="AU29" s="286"/>
      <c r="AV29" s="287"/>
      <c r="AW29" s="79"/>
      <c r="AX29" s="286"/>
      <c r="AY29" s="112"/>
      <c r="AZ29" s="74"/>
      <c r="BA29" s="287"/>
      <c r="BB29" s="288"/>
      <c r="BC29" s="74"/>
      <c r="BD29" s="112"/>
      <c r="BE29" s="74"/>
      <c r="BF29" s="287"/>
      <c r="BG29" s="79"/>
      <c r="BH29" s="74"/>
      <c r="BI29" s="112"/>
      <c r="BJ29" s="112"/>
      <c r="BK29" s="112"/>
      <c r="BL29" s="101"/>
      <c r="BM29" s="99"/>
      <c r="BN29" s="119"/>
      <c r="BO29" s="253"/>
      <c r="BP29" s="284"/>
    </row>
    <row r="30" spans="1:68" s="2" customFormat="1" ht="42" customHeight="1" x14ac:dyDescent="0.2">
      <c r="A30" s="319">
        <v>11</v>
      </c>
      <c r="B30" s="531"/>
      <c r="C30" s="299" t="s">
        <v>158</v>
      </c>
      <c r="D30" s="314" t="s">
        <v>159</v>
      </c>
      <c r="E30" s="290" t="s">
        <v>160</v>
      </c>
      <c r="F30" s="308"/>
      <c r="G30" s="308" t="s">
        <v>143</v>
      </c>
      <c r="H30" s="313" t="s">
        <v>151</v>
      </c>
      <c r="I30" s="79"/>
      <c r="J30" s="74"/>
      <c r="K30" s="79"/>
      <c r="L30" s="74"/>
      <c r="M30" s="359"/>
      <c r="N30" s="360"/>
      <c r="O30" s="361"/>
      <c r="P30" s="361"/>
      <c r="Q30" s="361"/>
      <c r="R30" s="362"/>
      <c r="S30" s="79"/>
      <c r="T30" s="74"/>
      <c r="U30" s="74"/>
      <c r="V30" s="74"/>
      <c r="W30" s="80"/>
      <c r="X30" s="363"/>
      <c r="Y30" s="357"/>
      <c r="Z30" s="357"/>
      <c r="AA30" s="357"/>
      <c r="AB30" s="364"/>
      <c r="AC30" s="79"/>
      <c r="AD30" s="74"/>
      <c r="AE30" s="365"/>
      <c r="AF30" s="358"/>
      <c r="AG30" s="8"/>
      <c r="AH30" s="8"/>
      <c r="AI30" s="8"/>
      <c r="AJ30" s="8"/>
      <c r="AK30" s="73"/>
      <c r="AL30" s="96"/>
      <c r="AM30" s="79"/>
      <c r="AN30" s="74"/>
      <c r="AO30" s="365"/>
      <c r="AP30" s="74"/>
      <c r="AQ30" s="364"/>
      <c r="AR30" s="371"/>
      <c r="AS30" s="357"/>
      <c r="AT30" s="357"/>
      <c r="AU30" s="357"/>
      <c r="AV30" s="364"/>
      <c r="AW30" s="79"/>
      <c r="AX30" s="357"/>
      <c r="AY30" s="74"/>
      <c r="AZ30" s="74"/>
      <c r="BA30" s="364"/>
      <c r="BB30" s="371"/>
      <c r="BC30" s="74"/>
      <c r="BD30" s="357"/>
      <c r="BE30" s="74"/>
      <c r="BF30" s="364"/>
      <c r="BG30" s="79"/>
      <c r="BH30" s="74"/>
      <c r="BI30" s="74"/>
      <c r="BJ30" s="74"/>
      <c r="BK30" s="100"/>
      <c r="BL30" s="282"/>
      <c r="BM30" s="283"/>
      <c r="BN30" s="100"/>
      <c r="BO30" s="254"/>
      <c r="BP30" s="80"/>
    </row>
    <row r="31" spans="1:68" s="2" customFormat="1" ht="45" customHeight="1" thickBot="1" x14ac:dyDescent="0.25">
      <c r="A31" s="320">
        <v>12</v>
      </c>
      <c r="B31" s="532"/>
      <c r="C31" s="302" t="s">
        <v>161</v>
      </c>
      <c r="D31" s="321" t="s">
        <v>162</v>
      </c>
      <c r="E31" s="297" t="s">
        <v>163</v>
      </c>
      <c r="F31" s="322" t="s">
        <v>143</v>
      </c>
      <c r="G31" s="322" t="s">
        <v>143</v>
      </c>
      <c r="H31" s="323" t="s">
        <v>164</v>
      </c>
      <c r="I31" s="221"/>
      <c r="J31" s="81"/>
      <c r="K31" s="381"/>
      <c r="L31" s="382"/>
      <c r="M31" s="382"/>
      <c r="N31" s="381"/>
      <c r="O31" s="382"/>
      <c r="P31" s="382"/>
      <c r="Q31" s="382"/>
      <c r="R31" s="383"/>
      <c r="S31" s="381"/>
      <c r="T31" s="382"/>
      <c r="U31" s="382"/>
      <c r="V31" s="382"/>
      <c r="W31" s="383"/>
      <c r="X31" s="382"/>
      <c r="Y31" s="382"/>
      <c r="Z31" s="382"/>
      <c r="AA31" s="382"/>
      <c r="AB31" s="383"/>
      <c r="AC31" s="381"/>
      <c r="AD31" s="382"/>
      <c r="AE31" s="384"/>
      <c r="AF31" s="82"/>
      <c r="AG31" s="385"/>
      <c r="AH31" s="386"/>
      <c r="AI31" s="250"/>
      <c r="AJ31" s="250"/>
      <c r="AK31" s="387"/>
      <c r="AL31" s="388"/>
      <c r="AM31" s="221"/>
      <c r="AN31" s="81"/>
      <c r="AO31" s="389"/>
      <c r="AP31" s="382"/>
      <c r="AQ31" s="383"/>
      <c r="AR31" s="381"/>
      <c r="AS31" s="382"/>
      <c r="AT31" s="382"/>
      <c r="AU31" s="382"/>
      <c r="AV31" s="383"/>
      <c r="AW31" s="381"/>
      <c r="AX31" s="382"/>
      <c r="AY31" s="382"/>
      <c r="AZ31" s="382"/>
      <c r="BA31" s="383"/>
      <c r="BB31" s="381"/>
      <c r="BC31" s="382"/>
      <c r="BD31" s="382"/>
      <c r="BE31" s="382"/>
      <c r="BF31" s="383"/>
      <c r="BG31" s="381"/>
      <c r="BH31" s="382"/>
      <c r="BI31" s="384"/>
      <c r="BJ31" s="81"/>
      <c r="BK31" s="82"/>
      <c r="BL31" s="88"/>
      <c r="BM31" s="390"/>
      <c r="BN31" s="420"/>
      <c r="BO31" s="254"/>
      <c r="BP31" s="80"/>
    </row>
    <row r="32" spans="1:68" s="2" customFormat="1" ht="45" customHeight="1" x14ac:dyDescent="0.2">
      <c r="A32" s="324">
        <v>1</v>
      </c>
      <c r="B32" s="537" t="s">
        <v>165</v>
      </c>
      <c r="C32" s="303" t="s">
        <v>166</v>
      </c>
      <c r="D32" s="325" t="s">
        <v>167</v>
      </c>
      <c r="E32" s="294" t="s">
        <v>168</v>
      </c>
      <c r="F32" s="306" t="s">
        <v>169</v>
      </c>
      <c r="G32" s="306" t="s">
        <v>143</v>
      </c>
      <c r="H32" s="317" t="s">
        <v>115</v>
      </c>
      <c r="I32" s="410"/>
      <c r="J32" s="411"/>
      <c r="K32" s="410"/>
      <c r="L32" s="411"/>
      <c r="M32" s="411"/>
      <c r="N32" s="410"/>
      <c r="O32" s="411"/>
      <c r="P32" s="411"/>
      <c r="Q32" s="411"/>
      <c r="R32" s="379"/>
      <c r="S32" s="410"/>
      <c r="T32" s="411"/>
      <c r="U32" s="421"/>
      <c r="V32" s="411"/>
      <c r="W32" s="379"/>
      <c r="X32" s="411"/>
      <c r="Y32" s="411"/>
      <c r="Z32" s="411"/>
      <c r="AA32" s="411"/>
      <c r="AB32" s="411"/>
      <c r="AC32" s="410"/>
      <c r="AD32" s="411"/>
      <c r="AE32" s="411"/>
      <c r="AF32" s="411"/>
      <c r="AG32" s="379"/>
      <c r="AH32" s="410"/>
      <c r="AI32" s="411"/>
      <c r="AJ32" s="421"/>
      <c r="AK32" s="421"/>
      <c r="AL32" s="422"/>
      <c r="AM32" s="410"/>
      <c r="AN32" s="411"/>
      <c r="AO32" s="411"/>
      <c r="AP32" s="411"/>
      <c r="AQ32" s="411"/>
      <c r="AR32" s="410"/>
      <c r="AS32" s="411"/>
      <c r="AT32" s="411"/>
      <c r="AU32" s="411"/>
      <c r="AV32" s="379"/>
      <c r="AW32" s="410"/>
      <c r="AX32" s="411"/>
      <c r="AY32" s="421"/>
      <c r="AZ32" s="421"/>
      <c r="BA32" s="423"/>
      <c r="BB32" s="410"/>
      <c r="BC32" s="411"/>
      <c r="BD32" s="411"/>
      <c r="BE32" s="411"/>
      <c r="BF32" s="411"/>
      <c r="BG32" s="410"/>
      <c r="BH32" s="411"/>
      <c r="BI32" s="411"/>
      <c r="BJ32" s="411"/>
      <c r="BK32" s="379"/>
      <c r="BL32" s="410"/>
      <c r="BM32" s="411"/>
      <c r="BN32" s="424"/>
      <c r="BO32" s="255"/>
      <c r="BP32" s="255"/>
    </row>
    <row r="33" spans="1:68" s="2" customFormat="1" ht="57" customHeight="1" x14ac:dyDescent="0.2">
      <c r="A33" s="326">
        <v>2</v>
      </c>
      <c r="B33" s="538"/>
      <c r="C33" s="304" t="s">
        <v>170</v>
      </c>
      <c r="D33" s="327" t="s">
        <v>171</v>
      </c>
      <c r="E33" s="291" t="s">
        <v>172</v>
      </c>
      <c r="F33" s="328">
        <v>1</v>
      </c>
      <c r="G33" s="328">
        <v>0.8</v>
      </c>
      <c r="H33" s="313" t="s">
        <v>115</v>
      </c>
      <c r="I33" s="79"/>
      <c r="J33" s="74"/>
      <c r="K33" s="368"/>
      <c r="L33" s="367"/>
      <c r="M33" s="367"/>
      <c r="N33" s="368"/>
      <c r="O33" s="367"/>
      <c r="P33" s="367"/>
      <c r="Q33" s="367"/>
      <c r="R33" s="369"/>
      <c r="S33" s="368"/>
      <c r="T33" s="367"/>
      <c r="U33" s="8"/>
      <c r="V33" s="367"/>
      <c r="W33" s="369"/>
      <c r="X33" s="367"/>
      <c r="Y33" s="367"/>
      <c r="Z33" s="367"/>
      <c r="AA33" s="367"/>
      <c r="AB33" s="367"/>
      <c r="AC33" s="368"/>
      <c r="AD33" s="367"/>
      <c r="AE33" s="367"/>
      <c r="AF33" s="367"/>
      <c r="AG33" s="369"/>
      <c r="AH33" s="368"/>
      <c r="AI33" s="367"/>
      <c r="AJ33" s="8"/>
      <c r="AK33" s="8"/>
      <c r="AL33" s="69"/>
      <c r="AM33" s="368"/>
      <c r="AN33" s="367"/>
      <c r="AO33" s="367"/>
      <c r="AP33" s="367"/>
      <c r="AQ33" s="367"/>
      <c r="AR33" s="368"/>
      <c r="AS33" s="367"/>
      <c r="AT33" s="367"/>
      <c r="AU33" s="367"/>
      <c r="AV33" s="369"/>
      <c r="AW33" s="368"/>
      <c r="AX33" s="367"/>
      <c r="AY33" s="8"/>
      <c r="AZ33" s="8"/>
      <c r="BA33" s="70"/>
      <c r="BB33" s="368"/>
      <c r="BC33" s="367"/>
      <c r="BD33" s="367"/>
      <c r="BE33" s="367"/>
      <c r="BF33" s="367"/>
      <c r="BG33" s="368"/>
      <c r="BH33" s="367"/>
      <c r="BI33" s="367"/>
      <c r="BJ33" s="367"/>
      <c r="BK33" s="369"/>
      <c r="BL33" s="368"/>
      <c r="BM33" s="367"/>
      <c r="BN33" s="10"/>
      <c r="BO33" s="255"/>
      <c r="BP33" s="255"/>
    </row>
    <row r="34" spans="1:68" s="2" customFormat="1" ht="45" customHeight="1" x14ac:dyDescent="0.2">
      <c r="A34" s="329">
        <v>3</v>
      </c>
      <c r="B34" s="538"/>
      <c r="C34" s="304" t="s">
        <v>173</v>
      </c>
      <c r="D34" s="327" t="s">
        <v>174</v>
      </c>
      <c r="E34" s="291" t="s">
        <v>175</v>
      </c>
      <c r="F34" s="308" t="s">
        <v>176</v>
      </c>
      <c r="G34" s="312" t="s">
        <v>177</v>
      </c>
      <c r="H34" s="313" t="s">
        <v>115</v>
      </c>
      <c r="I34" s="79"/>
      <c r="J34" s="74"/>
      <c r="K34" s="368"/>
      <c r="L34" s="367"/>
      <c r="M34" s="367"/>
      <c r="N34" s="368"/>
      <c r="O34" s="367"/>
      <c r="P34" s="367"/>
      <c r="Q34" s="367"/>
      <c r="R34" s="369"/>
      <c r="S34" s="368"/>
      <c r="T34" s="367"/>
      <c r="U34" s="98"/>
      <c r="V34" s="485"/>
      <c r="W34" s="486"/>
      <c r="X34" s="485"/>
      <c r="Y34" s="485"/>
      <c r="Z34" s="485"/>
      <c r="AA34" s="485"/>
      <c r="AB34" s="485"/>
      <c r="AC34" s="487"/>
      <c r="AD34" s="485"/>
      <c r="AE34" s="485"/>
      <c r="AF34" s="485"/>
      <c r="AG34" s="486"/>
      <c r="AH34" s="487"/>
      <c r="AI34" s="485"/>
      <c r="AJ34" s="98"/>
      <c r="AK34" s="98"/>
      <c r="AL34" s="488"/>
      <c r="AM34" s="487"/>
      <c r="AN34" s="485"/>
      <c r="AO34" s="485"/>
      <c r="AP34" s="485"/>
      <c r="AQ34" s="485"/>
      <c r="AR34" s="487"/>
      <c r="AS34" s="485"/>
      <c r="AT34" s="485"/>
      <c r="AU34" s="485"/>
      <c r="AV34" s="486"/>
      <c r="AW34" s="487"/>
      <c r="AX34" s="485"/>
      <c r="AY34" s="98"/>
      <c r="AZ34" s="8"/>
      <c r="BA34" s="70"/>
      <c r="BB34" s="368"/>
      <c r="BC34" s="367"/>
      <c r="BD34" s="367"/>
      <c r="BE34" s="367"/>
      <c r="BF34" s="367"/>
      <c r="BG34" s="368"/>
      <c r="BH34" s="367"/>
      <c r="BI34" s="367"/>
      <c r="BJ34" s="367"/>
      <c r="BK34" s="369"/>
      <c r="BL34" s="368"/>
      <c r="BM34" s="367"/>
      <c r="BN34" s="10"/>
      <c r="BO34" s="255"/>
      <c r="BP34" s="255"/>
    </row>
    <row r="35" spans="1:68" s="2" customFormat="1" ht="45" customHeight="1" x14ac:dyDescent="0.2">
      <c r="A35" s="326">
        <v>4</v>
      </c>
      <c r="B35" s="538"/>
      <c r="C35" s="304" t="s">
        <v>178</v>
      </c>
      <c r="D35" s="327" t="s">
        <v>179</v>
      </c>
      <c r="E35" s="291" t="s">
        <v>180</v>
      </c>
      <c r="F35" s="308" t="s">
        <v>176</v>
      </c>
      <c r="G35" s="312" t="s">
        <v>177</v>
      </c>
      <c r="H35" s="313" t="s">
        <v>115</v>
      </c>
      <c r="I35" s="79"/>
      <c r="J35" s="74"/>
      <c r="K35" s="79"/>
      <c r="L35" s="74"/>
      <c r="M35" s="74"/>
      <c r="N35" s="79"/>
      <c r="O35" s="74"/>
      <c r="P35" s="74"/>
      <c r="Q35" s="74"/>
      <c r="R35" s="80"/>
      <c r="S35" s="79"/>
      <c r="T35" s="74"/>
      <c r="U35" s="283"/>
      <c r="V35" s="489"/>
      <c r="W35" s="490"/>
      <c r="X35" s="489"/>
      <c r="Y35" s="489"/>
      <c r="Z35" s="489"/>
      <c r="AA35" s="489"/>
      <c r="AB35" s="489"/>
      <c r="AC35" s="491"/>
      <c r="AD35" s="489"/>
      <c r="AE35" s="489"/>
      <c r="AF35" s="489"/>
      <c r="AG35" s="490"/>
      <c r="AH35" s="491"/>
      <c r="AI35" s="489"/>
      <c r="AJ35" s="283"/>
      <c r="AK35" s="283"/>
      <c r="AL35" s="492"/>
      <c r="AM35" s="491"/>
      <c r="AN35" s="489"/>
      <c r="AO35" s="489"/>
      <c r="AP35" s="489"/>
      <c r="AQ35" s="489"/>
      <c r="AR35" s="491"/>
      <c r="AS35" s="489"/>
      <c r="AT35" s="485"/>
      <c r="AU35" s="489"/>
      <c r="AV35" s="490"/>
      <c r="AW35" s="491"/>
      <c r="AX35" s="489"/>
      <c r="AY35" s="283"/>
      <c r="AZ35" s="357"/>
      <c r="BA35" s="372"/>
      <c r="BB35" s="79"/>
      <c r="BC35" s="74"/>
      <c r="BD35" s="74"/>
      <c r="BE35" s="74"/>
      <c r="BF35" s="74"/>
      <c r="BG35" s="79"/>
      <c r="BH35" s="74"/>
      <c r="BI35" s="74"/>
      <c r="BJ35" s="74"/>
      <c r="BK35" s="80"/>
      <c r="BL35" s="79"/>
      <c r="BM35" s="74"/>
      <c r="BN35" s="364"/>
      <c r="BO35" s="255"/>
      <c r="BP35" s="255"/>
    </row>
    <row r="36" spans="1:68" s="2" customFormat="1" ht="45" customHeight="1" x14ac:dyDescent="0.2">
      <c r="A36" s="329">
        <v>5</v>
      </c>
      <c r="B36" s="538"/>
      <c r="C36" s="304" t="s">
        <v>181</v>
      </c>
      <c r="D36" s="327" t="s">
        <v>182</v>
      </c>
      <c r="E36" s="291" t="s">
        <v>183</v>
      </c>
      <c r="F36" s="308" t="s">
        <v>184</v>
      </c>
      <c r="G36" s="308" t="s">
        <v>185</v>
      </c>
      <c r="H36" s="313" t="s">
        <v>115</v>
      </c>
      <c r="I36" s="79"/>
      <c r="J36" s="74"/>
      <c r="K36" s="368"/>
      <c r="L36" s="367"/>
      <c r="M36" s="367"/>
      <c r="N36" s="368"/>
      <c r="O36" s="367"/>
      <c r="P36" s="367"/>
      <c r="Q36" s="367"/>
      <c r="R36" s="369"/>
      <c r="S36" s="368"/>
      <c r="T36" s="367"/>
      <c r="U36" s="98"/>
      <c r="V36" s="485"/>
      <c r="W36" s="486"/>
      <c r="X36" s="485"/>
      <c r="Y36" s="485"/>
      <c r="Z36" s="485"/>
      <c r="AA36" s="485"/>
      <c r="AB36" s="485"/>
      <c r="AC36" s="487"/>
      <c r="AD36" s="485"/>
      <c r="AE36" s="485"/>
      <c r="AF36" s="485"/>
      <c r="AG36" s="486"/>
      <c r="AH36" s="487"/>
      <c r="AI36" s="485"/>
      <c r="AJ36" s="98"/>
      <c r="AK36" s="98"/>
      <c r="AL36" s="488"/>
      <c r="AM36" s="487"/>
      <c r="AN36" s="485"/>
      <c r="AO36" s="485"/>
      <c r="AP36" s="485"/>
      <c r="AQ36" s="485"/>
      <c r="AR36" s="487"/>
      <c r="AS36" s="485"/>
      <c r="AT36" s="485"/>
      <c r="AU36" s="485"/>
      <c r="AV36" s="486"/>
      <c r="AW36" s="487"/>
      <c r="AX36" s="485"/>
      <c r="AY36" s="98"/>
      <c r="AZ36" s="8"/>
      <c r="BA36" s="70"/>
      <c r="BB36" s="368"/>
      <c r="BC36" s="367"/>
      <c r="BD36" s="367"/>
      <c r="BE36" s="367"/>
      <c r="BF36" s="367"/>
      <c r="BG36" s="368"/>
      <c r="BH36" s="367"/>
      <c r="BI36" s="367"/>
      <c r="BJ36" s="367"/>
      <c r="BK36" s="369"/>
      <c r="BL36" s="368"/>
      <c r="BM36" s="367"/>
      <c r="BN36" s="10"/>
      <c r="BO36" s="255"/>
      <c r="BP36" s="255"/>
    </row>
    <row r="37" spans="1:68" s="2" customFormat="1" ht="45" customHeight="1" x14ac:dyDescent="0.2">
      <c r="A37" s="326">
        <v>6</v>
      </c>
      <c r="B37" s="538"/>
      <c r="C37" s="304" t="s">
        <v>186</v>
      </c>
      <c r="D37" s="327" t="s">
        <v>187</v>
      </c>
      <c r="E37" s="291" t="s">
        <v>188</v>
      </c>
      <c r="F37" s="328">
        <v>1</v>
      </c>
      <c r="G37" s="328">
        <v>1</v>
      </c>
      <c r="H37" s="313" t="s">
        <v>115</v>
      </c>
      <c r="I37" s="79"/>
      <c r="J37" s="74"/>
      <c r="K37" s="79"/>
      <c r="L37" s="74"/>
      <c r="M37" s="74"/>
      <c r="N37" s="79"/>
      <c r="O37" s="74"/>
      <c r="P37" s="74"/>
      <c r="Q37" s="74"/>
      <c r="R37" s="80"/>
      <c r="S37" s="79"/>
      <c r="T37" s="74"/>
      <c r="U37" s="357"/>
      <c r="V37" s="74"/>
      <c r="W37" s="80"/>
      <c r="X37" s="74"/>
      <c r="Y37" s="74"/>
      <c r="Z37" s="74"/>
      <c r="AA37" s="74"/>
      <c r="AB37" s="74"/>
      <c r="AC37" s="79"/>
      <c r="AD37" s="74"/>
      <c r="AE37" s="74"/>
      <c r="AF37" s="74"/>
      <c r="AG37" s="80"/>
      <c r="AH37" s="79"/>
      <c r="AI37" s="74"/>
      <c r="AJ37" s="357"/>
      <c r="AK37" s="357"/>
      <c r="AL37" s="373"/>
      <c r="AM37" s="79"/>
      <c r="AN37" s="74"/>
      <c r="AO37" s="74"/>
      <c r="AP37" s="74"/>
      <c r="AQ37" s="74"/>
      <c r="AR37" s="79"/>
      <c r="AS37" s="74"/>
      <c r="AT37" s="367"/>
      <c r="AU37" s="74"/>
      <c r="AV37" s="80"/>
      <c r="AW37" s="79"/>
      <c r="AX37" s="74"/>
      <c r="AY37" s="357"/>
      <c r="AZ37" s="357"/>
      <c r="BA37" s="372"/>
      <c r="BB37" s="79"/>
      <c r="BC37" s="74"/>
      <c r="BD37" s="74"/>
      <c r="BE37" s="74"/>
      <c r="BF37" s="74"/>
      <c r="BG37" s="79"/>
      <c r="BH37" s="74"/>
      <c r="BI37" s="74"/>
      <c r="BJ37" s="74"/>
      <c r="BK37" s="80"/>
      <c r="BL37" s="79"/>
      <c r="BM37" s="74"/>
      <c r="BN37" s="364"/>
      <c r="BO37" s="255"/>
      <c r="BP37" s="255"/>
    </row>
    <row r="38" spans="1:68" s="2" customFormat="1" ht="51.75" customHeight="1" x14ac:dyDescent="0.2">
      <c r="A38" s="329">
        <v>7</v>
      </c>
      <c r="B38" s="538"/>
      <c r="C38" s="304" t="s">
        <v>189</v>
      </c>
      <c r="D38" s="327" t="s">
        <v>190</v>
      </c>
      <c r="E38" s="291" t="s">
        <v>191</v>
      </c>
      <c r="F38" s="328">
        <v>1</v>
      </c>
      <c r="G38" s="328">
        <v>1</v>
      </c>
      <c r="H38" s="313" t="s">
        <v>115</v>
      </c>
      <c r="I38" s="79"/>
      <c r="J38" s="74"/>
      <c r="K38" s="368"/>
      <c r="L38" s="367"/>
      <c r="M38" s="367"/>
      <c r="N38" s="368"/>
      <c r="O38" s="367"/>
      <c r="P38" s="367"/>
      <c r="Q38" s="367"/>
      <c r="R38" s="369"/>
      <c r="S38" s="368"/>
      <c r="T38" s="367"/>
      <c r="U38" s="8"/>
      <c r="V38" s="367"/>
      <c r="W38" s="369"/>
      <c r="X38" s="367"/>
      <c r="Y38" s="367"/>
      <c r="Z38" s="367"/>
      <c r="AA38" s="367"/>
      <c r="AB38" s="367"/>
      <c r="AC38" s="368"/>
      <c r="AD38" s="367"/>
      <c r="AE38" s="367"/>
      <c r="AF38" s="367"/>
      <c r="AG38" s="369"/>
      <c r="AH38" s="368"/>
      <c r="AI38" s="367"/>
      <c r="AJ38" s="8"/>
      <c r="AK38" s="8"/>
      <c r="AL38" s="69"/>
      <c r="AM38" s="368"/>
      <c r="AN38" s="367"/>
      <c r="AO38" s="367"/>
      <c r="AP38" s="367"/>
      <c r="AQ38" s="367"/>
      <c r="AR38" s="368"/>
      <c r="AS38" s="367"/>
      <c r="AT38" s="367"/>
      <c r="AU38" s="367"/>
      <c r="AV38" s="369"/>
      <c r="AW38" s="368"/>
      <c r="AX38" s="367"/>
      <c r="AY38" s="8"/>
      <c r="AZ38" s="8"/>
      <c r="BA38" s="70"/>
      <c r="BB38" s="368"/>
      <c r="BC38" s="367"/>
      <c r="BD38" s="367"/>
      <c r="BE38" s="367"/>
      <c r="BF38" s="367"/>
      <c r="BG38" s="368"/>
      <c r="BH38" s="367"/>
      <c r="BI38" s="367"/>
      <c r="BJ38" s="367"/>
      <c r="BK38" s="369"/>
      <c r="BL38" s="368"/>
      <c r="BM38" s="367"/>
      <c r="BN38" s="10"/>
      <c r="BO38" s="80"/>
      <c r="BP38" s="80"/>
    </row>
    <row r="39" spans="1:68" s="2" customFormat="1" ht="45" customHeight="1" x14ac:dyDescent="0.2">
      <c r="A39" s="326">
        <v>8</v>
      </c>
      <c r="B39" s="538"/>
      <c r="C39" s="304" t="s">
        <v>192</v>
      </c>
      <c r="D39" s="327" t="s">
        <v>193</v>
      </c>
      <c r="E39" s="291" t="s">
        <v>194</v>
      </c>
      <c r="F39" s="328">
        <v>1</v>
      </c>
      <c r="G39" s="328">
        <v>1</v>
      </c>
      <c r="H39" s="313" t="s">
        <v>115</v>
      </c>
      <c r="I39" s="79"/>
      <c r="J39" s="74"/>
      <c r="K39" s="79"/>
      <c r="L39" s="74"/>
      <c r="M39" s="74"/>
      <c r="N39" s="79"/>
      <c r="O39" s="74"/>
      <c r="P39" s="74"/>
      <c r="Q39" s="74"/>
      <c r="R39" s="80"/>
      <c r="S39" s="79"/>
      <c r="T39" s="74"/>
      <c r="U39" s="357"/>
      <c r="V39" s="74"/>
      <c r="W39" s="80"/>
      <c r="X39" s="74"/>
      <c r="Y39" s="74"/>
      <c r="Z39" s="74"/>
      <c r="AA39" s="74"/>
      <c r="AB39" s="74"/>
      <c r="AC39" s="79"/>
      <c r="AD39" s="74"/>
      <c r="AE39" s="74"/>
      <c r="AF39" s="74"/>
      <c r="AG39" s="80"/>
      <c r="AH39" s="79"/>
      <c r="AI39" s="74"/>
      <c r="AJ39" s="357"/>
      <c r="AK39" s="357"/>
      <c r="AL39" s="373"/>
      <c r="AM39" s="79"/>
      <c r="AN39" s="74"/>
      <c r="AO39" s="74"/>
      <c r="AP39" s="74"/>
      <c r="AQ39" s="74"/>
      <c r="AR39" s="79"/>
      <c r="AS39" s="74"/>
      <c r="AT39" s="74"/>
      <c r="AU39" s="74"/>
      <c r="AV39" s="80"/>
      <c r="AW39" s="79"/>
      <c r="AX39" s="74"/>
      <c r="AY39" s="357"/>
      <c r="AZ39" s="357"/>
      <c r="BA39" s="372"/>
      <c r="BB39" s="79"/>
      <c r="BC39" s="74"/>
      <c r="BD39" s="74"/>
      <c r="BE39" s="74"/>
      <c r="BF39" s="74"/>
      <c r="BG39" s="79"/>
      <c r="BH39" s="74"/>
      <c r="BI39" s="74"/>
      <c r="BJ39" s="74"/>
      <c r="BK39" s="80"/>
      <c r="BL39" s="79"/>
      <c r="BM39" s="74"/>
      <c r="BN39" s="364"/>
      <c r="BO39" s="255"/>
      <c r="BP39" s="255"/>
    </row>
    <row r="40" spans="1:68" s="2" customFormat="1" ht="45" customHeight="1" x14ac:dyDescent="0.2">
      <c r="A40" s="329">
        <v>9</v>
      </c>
      <c r="B40" s="538"/>
      <c r="C40" s="304" t="s">
        <v>195</v>
      </c>
      <c r="D40" s="327" t="s">
        <v>196</v>
      </c>
      <c r="E40" s="291" t="s">
        <v>197</v>
      </c>
      <c r="F40" s="328">
        <v>1</v>
      </c>
      <c r="G40" s="328">
        <v>1</v>
      </c>
      <c r="H40" s="313" t="s">
        <v>115</v>
      </c>
      <c r="I40" s="79"/>
      <c r="J40" s="74"/>
      <c r="K40" s="368"/>
      <c r="L40" s="367"/>
      <c r="M40" s="367"/>
      <c r="N40" s="368"/>
      <c r="O40" s="367"/>
      <c r="P40" s="367"/>
      <c r="Q40" s="367"/>
      <c r="R40" s="369"/>
      <c r="S40" s="368"/>
      <c r="T40" s="367"/>
      <c r="U40" s="8"/>
      <c r="V40" s="367"/>
      <c r="W40" s="369"/>
      <c r="X40" s="367"/>
      <c r="Y40" s="367"/>
      <c r="Z40" s="367"/>
      <c r="AA40" s="367"/>
      <c r="AB40" s="367"/>
      <c r="AC40" s="368"/>
      <c r="AD40" s="367"/>
      <c r="AE40" s="367"/>
      <c r="AF40" s="367"/>
      <c r="AG40" s="369"/>
      <c r="AH40" s="368"/>
      <c r="AI40" s="367"/>
      <c r="AJ40" s="8"/>
      <c r="AK40" s="8"/>
      <c r="AL40" s="69"/>
      <c r="AM40" s="368"/>
      <c r="AN40" s="367"/>
      <c r="AO40" s="367"/>
      <c r="AP40" s="367"/>
      <c r="AQ40" s="367"/>
      <c r="AR40" s="368"/>
      <c r="AS40" s="367"/>
      <c r="AT40" s="367"/>
      <c r="AU40" s="367"/>
      <c r="AV40" s="369"/>
      <c r="AW40" s="368"/>
      <c r="AX40" s="367"/>
      <c r="AY40" s="8"/>
      <c r="AZ40" s="8"/>
      <c r="BA40" s="70"/>
      <c r="BB40" s="368"/>
      <c r="BC40" s="367"/>
      <c r="BD40" s="367"/>
      <c r="BE40" s="367"/>
      <c r="BF40" s="367"/>
      <c r="BG40" s="368"/>
      <c r="BH40" s="367"/>
      <c r="BI40" s="367"/>
      <c r="BJ40" s="367"/>
      <c r="BK40" s="369"/>
      <c r="BL40" s="368"/>
      <c r="BM40" s="367"/>
      <c r="BN40" s="10"/>
      <c r="BO40" s="255"/>
      <c r="BP40" s="255"/>
    </row>
    <row r="41" spans="1:68" s="2" customFormat="1" ht="55.5" customHeight="1" x14ac:dyDescent="0.2">
      <c r="A41" s="326">
        <v>10</v>
      </c>
      <c r="B41" s="538"/>
      <c r="C41" s="304" t="s">
        <v>198</v>
      </c>
      <c r="D41" s="327" t="s">
        <v>199</v>
      </c>
      <c r="E41" s="291" t="s">
        <v>200</v>
      </c>
      <c r="F41" s="308" t="s">
        <v>201</v>
      </c>
      <c r="G41" s="308" t="s">
        <v>202</v>
      </c>
      <c r="H41" s="313" t="s">
        <v>115</v>
      </c>
      <c r="I41" s="79"/>
      <c r="J41" s="74"/>
      <c r="K41" s="368"/>
      <c r="L41" s="367"/>
      <c r="M41" s="367"/>
      <c r="N41" s="368"/>
      <c r="O41" s="367"/>
      <c r="P41" s="367"/>
      <c r="Q41" s="367"/>
      <c r="R41" s="369"/>
      <c r="S41" s="368"/>
      <c r="T41" s="367"/>
      <c r="U41" s="8"/>
      <c r="V41" s="367"/>
      <c r="W41" s="369"/>
      <c r="X41" s="367"/>
      <c r="Y41" s="367"/>
      <c r="Z41" s="367"/>
      <c r="AA41" s="367"/>
      <c r="AB41" s="367"/>
      <c r="AC41" s="368"/>
      <c r="AD41" s="367"/>
      <c r="AE41" s="367"/>
      <c r="AF41" s="367"/>
      <c r="AG41" s="369"/>
      <c r="AH41" s="368"/>
      <c r="AI41" s="367"/>
      <c r="AJ41" s="8"/>
      <c r="AK41" s="8"/>
      <c r="AL41" s="69"/>
      <c r="AM41" s="368"/>
      <c r="AN41" s="367"/>
      <c r="AO41" s="367"/>
      <c r="AP41" s="367"/>
      <c r="AQ41" s="367"/>
      <c r="AR41" s="368"/>
      <c r="AS41" s="367"/>
      <c r="AT41" s="367"/>
      <c r="AU41" s="367"/>
      <c r="AV41" s="369"/>
      <c r="AW41" s="368"/>
      <c r="AX41" s="367"/>
      <c r="AY41" s="8"/>
      <c r="AZ41" s="8"/>
      <c r="BA41" s="70"/>
      <c r="BB41" s="368"/>
      <c r="BC41" s="367"/>
      <c r="BD41" s="367"/>
      <c r="BE41" s="367"/>
      <c r="BF41" s="367"/>
      <c r="BG41" s="368"/>
      <c r="BH41" s="367"/>
      <c r="BI41" s="367"/>
      <c r="BJ41" s="367"/>
      <c r="BK41" s="369"/>
      <c r="BL41" s="368"/>
      <c r="BM41" s="367"/>
      <c r="BN41" s="10"/>
      <c r="BO41" s="255"/>
      <c r="BP41" s="255"/>
    </row>
    <row r="42" spans="1:68" s="2" customFormat="1" ht="45" customHeight="1" x14ac:dyDescent="0.2">
      <c r="A42" s="329">
        <v>11</v>
      </c>
      <c r="B42" s="538"/>
      <c r="C42" s="304" t="s">
        <v>203</v>
      </c>
      <c r="D42" s="327" t="s">
        <v>204</v>
      </c>
      <c r="E42" s="291" t="s">
        <v>205</v>
      </c>
      <c r="F42" s="308" t="s">
        <v>206</v>
      </c>
      <c r="G42" s="308" t="s">
        <v>202</v>
      </c>
      <c r="H42" s="313" t="s">
        <v>115</v>
      </c>
      <c r="I42" s="79"/>
      <c r="J42" s="74"/>
      <c r="K42" s="79"/>
      <c r="L42" s="74"/>
      <c r="M42" s="74"/>
      <c r="N42" s="79"/>
      <c r="O42" s="74"/>
      <c r="P42" s="74"/>
      <c r="Q42" s="74"/>
      <c r="R42" s="80"/>
      <c r="S42" s="79"/>
      <c r="T42" s="74"/>
      <c r="U42" s="357"/>
      <c r="V42" s="74"/>
      <c r="W42" s="80"/>
      <c r="X42" s="74"/>
      <c r="Y42" s="74"/>
      <c r="Z42" s="74"/>
      <c r="AA42" s="74"/>
      <c r="AB42" s="74"/>
      <c r="AC42" s="79"/>
      <c r="AD42" s="74"/>
      <c r="AE42" s="74"/>
      <c r="AF42" s="74"/>
      <c r="AG42" s="80"/>
      <c r="AH42" s="79"/>
      <c r="AI42" s="74"/>
      <c r="AJ42" s="357"/>
      <c r="AK42" s="357"/>
      <c r="AL42" s="373"/>
      <c r="AM42" s="79"/>
      <c r="AN42" s="74"/>
      <c r="AO42" s="74"/>
      <c r="AP42" s="74"/>
      <c r="AQ42" s="74"/>
      <c r="AR42" s="79"/>
      <c r="AS42" s="74"/>
      <c r="AT42" s="74"/>
      <c r="AU42" s="74"/>
      <c r="AV42" s="80"/>
      <c r="AW42" s="79"/>
      <c r="AX42" s="74"/>
      <c r="AY42" s="357"/>
      <c r="AZ42" s="357"/>
      <c r="BA42" s="372"/>
      <c r="BB42" s="79"/>
      <c r="BC42" s="74"/>
      <c r="BD42" s="74"/>
      <c r="BE42" s="74"/>
      <c r="BF42" s="74"/>
      <c r="BG42" s="79"/>
      <c r="BH42" s="74"/>
      <c r="BI42" s="74"/>
      <c r="BJ42" s="74"/>
      <c r="BK42" s="80"/>
      <c r="BL42" s="79"/>
      <c r="BM42" s="74"/>
      <c r="BN42" s="364"/>
      <c r="BO42" s="255"/>
      <c r="BP42" s="255"/>
    </row>
    <row r="43" spans="1:68" s="2" customFormat="1" ht="77.099999999999994" customHeight="1" thickBot="1" x14ac:dyDescent="0.25">
      <c r="A43" s="330">
        <v>12</v>
      </c>
      <c r="B43" s="539"/>
      <c r="C43" s="480" t="s">
        <v>207</v>
      </c>
      <c r="D43" s="481" t="s">
        <v>208</v>
      </c>
      <c r="E43" s="482" t="s">
        <v>209</v>
      </c>
      <c r="F43" s="483"/>
      <c r="G43" s="483" t="s">
        <v>202</v>
      </c>
      <c r="H43" s="484" t="s">
        <v>115</v>
      </c>
      <c r="I43" s="221"/>
      <c r="J43" s="81"/>
      <c r="K43" s="381"/>
      <c r="L43" s="382"/>
      <c r="M43" s="382"/>
      <c r="N43" s="381"/>
      <c r="O43" s="382"/>
      <c r="P43" s="382"/>
      <c r="Q43" s="382"/>
      <c r="R43" s="383"/>
      <c r="S43" s="381"/>
      <c r="T43" s="382"/>
      <c r="U43" s="250"/>
      <c r="V43" s="382"/>
      <c r="W43" s="383"/>
      <c r="X43" s="382"/>
      <c r="Y43" s="382"/>
      <c r="Z43" s="382"/>
      <c r="AA43" s="382"/>
      <c r="AB43" s="382"/>
      <c r="AC43" s="381"/>
      <c r="AD43" s="382"/>
      <c r="AE43" s="382"/>
      <c r="AF43" s="382"/>
      <c r="AG43" s="383"/>
      <c r="AH43" s="381"/>
      <c r="AI43" s="382"/>
      <c r="AJ43" s="250"/>
      <c r="AK43" s="250"/>
      <c r="AL43" s="425"/>
      <c r="AM43" s="381"/>
      <c r="AN43" s="382"/>
      <c r="AO43" s="382"/>
      <c r="AP43" s="382"/>
      <c r="AQ43" s="382"/>
      <c r="AR43" s="381"/>
      <c r="AS43" s="382"/>
      <c r="AT43" s="382"/>
      <c r="AU43" s="382"/>
      <c r="AV43" s="383"/>
      <c r="AW43" s="381"/>
      <c r="AX43" s="382"/>
      <c r="AY43" s="250"/>
      <c r="AZ43" s="250"/>
      <c r="BA43" s="426"/>
      <c r="BB43" s="381"/>
      <c r="BC43" s="382"/>
      <c r="BD43" s="382"/>
      <c r="BE43" s="382"/>
      <c r="BF43" s="382"/>
      <c r="BG43" s="381"/>
      <c r="BH43" s="382"/>
      <c r="BI43" s="382"/>
      <c r="BJ43" s="382"/>
      <c r="BK43" s="383"/>
      <c r="BL43" s="381"/>
      <c r="BM43" s="382"/>
      <c r="BN43" s="427"/>
      <c r="BO43" s="255"/>
      <c r="BP43" s="255"/>
    </row>
    <row r="44" spans="1:68" s="2" customFormat="1" ht="56.1" customHeight="1" x14ac:dyDescent="0.2">
      <c r="A44" s="324">
        <v>1</v>
      </c>
      <c r="B44" s="540" t="s">
        <v>210</v>
      </c>
      <c r="C44" s="303" t="s">
        <v>211</v>
      </c>
      <c r="D44" s="325" t="s">
        <v>212</v>
      </c>
      <c r="E44" s="294" t="s">
        <v>213</v>
      </c>
      <c r="F44" s="306"/>
      <c r="G44" s="306" t="s">
        <v>214</v>
      </c>
      <c r="H44" s="317" t="s">
        <v>164</v>
      </c>
      <c r="I44" s="410"/>
      <c r="J44" s="411"/>
      <c r="K44" s="428"/>
      <c r="L44" s="429"/>
      <c r="M44" s="429"/>
      <c r="N44" s="428"/>
      <c r="O44" s="429"/>
      <c r="P44" s="429"/>
      <c r="Q44" s="429"/>
      <c r="R44" s="430"/>
      <c r="S44" s="428"/>
      <c r="T44" s="429"/>
      <c r="U44" s="429"/>
      <c r="V44" s="429"/>
      <c r="W44" s="430"/>
      <c r="X44" s="429"/>
      <c r="Y44" s="429"/>
      <c r="Z44" s="429"/>
      <c r="AA44" s="429"/>
      <c r="AB44" s="430"/>
      <c r="AC44" s="428"/>
      <c r="AD44" s="429"/>
      <c r="AE44" s="431"/>
      <c r="AF44" s="379"/>
      <c r="AG44" s="432"/>
      <c r="AH44" s="433"/>
      <c r="AI44" s="421"/>
      <c r="AJ44" s="421"/>
      <c r="AK44" s="434"/>
      <c r="AL44" s="415"/>
      <c r="AM44" s="410"/>
      <c r="AN44" s="411"/>
      <c r="AO44" s="435"/>
      <c r="AP44" s="429"/>
      <c r="AQ44" s="430"/>
      <c r="AR44" s="428"/>
      <c r="AS44" s="429"/>
      <c r="AT44" s="429"/>
      <c r="AU44" s="429"/>
      <c r="AV44" s="430"/>
      <c r="AW44" s="428"/>
      <c r="AX44" s="429"/>
      <c r="AY44" s="429"/>
      <c r="AZ44" s="429"/>
      <c r="BA44" s="430"/>
      <c r="BB44" s="428"/>
      <c r="BC44" s="429"/>
      <c r="BD44" s="429"/>
      <c r="BE44" s="429"/>
      <c r="BF44" s="430"/>
      <c r="BG44" s="428"/>
      <c r="BH44" s="429"/>
      <c r="BI44" s="431"/>
      <c r="BJ44" s="411"/>
      <c r="BK44" s="379"/>
      <c r="BL44" s="436"/>
      <c r="BM44" s="437"/>
      <c r="BN44" s="418"/>
      <c r="BO44" s="285"/>
      <c r="BP44" s="285"/>
    </row>
    <row r="45" spans="1:68" s="2" customFormat="1" ht="69" customHeight="1" x14ac:dyDescent="0.2">
      <c r="A45" s="329">
        <v>2</v>
      </c>
      <c r="B45" s="541"/>
      <c r="C45" s="304" t="s">
        <v>215</v>
      </c>
      <c r="D45" s="327" t="s">
        <v>216</v>
      </c>
      <c r="E45" s="291" t="s">
        <v>217</v>
      </c>
      <c r="F45" s="308"/>
      <c r="G45" s="332">
        <v>1</v>
      </c>
      <c r="H45" s="313" t="s">
        <v>164</v>
      </c>
      <c r="I45" s="79"/>
      <c r="J45" s="74"/>
      <c r="K45" s="368"/>
      <c r="L45" s="367"/>
      <c r="M45" s="367"/>
      <c r="N45" s="368"/>
      <c r="O45" s="367"/>
      <c r="P45" s="367"/>
      <c r="Q45" s="367"/>
      <c r="R45" s="369"/>
      <c r="S45" s="368"/>
      <c r="T45" s="367"/>
      <c r="U45" s="367"/>
      <c r="V45" s="367"/>
      <c r="W45" s="369"/>
      <c r="X45" s="367"/>
      <c r="Y45" s="367"/>
      <c r="Z45" s="367"/>
      <c r="AA45" s="367"/>
      <c r="AB45" s="369"/>
      <c r="AC45" s="368"/>
      <c r="AD45" s="367"/>
      <c r="AE45" s="370"/>
      <c r="AF45" s="80"/>
      <c r="AG45" s="119"/>
      <c r="AH45" s="9"/>
      <c r="AI45" s="75"/>
      <c r="AJ45" s="75"/>
      <c r="AK45" s="112"/>
      <c r="AL45" s="23"/>
      <c r="AM45" s="79"/>
      <c r="AN45" s="74"/>
      <c r="AO45" s="366"/>
      <c r="AP45" s="367"/>
      <c r="AQ45" s="369"/>
      <c r="AR45" s="368"/>
      <c r="AS45" s="367"/>
      <c r="AT45" s="367"/>
      <c r="AU45" s="367"/>
      <c r="AV45" s="369"/>
      <c r="AW45" s="368"/>
      <c r="AX45" s="367"/>
      <c r="AY45" s="367"/>
      <c r="AZ45" s="367"/>
      <c r="BA45" s="369"/>
      <c r="BB45" s="368"/>
      <c r="BC45" s="367"/>
      <c r="BD45" s="367"/>
      <c r="BE45" s="367"/>
      <c r="BF45" s="369"/>
      <c r="BG45" s="368"/>
      <c r="BH45" s="367"/>
      <c r="BI45" s="370"/>
      <c r="BJ45" s="74"/>
      <c r="BK45" s="80"/>
      <c r="BL45" s="101"/>
      <c r="BM45" s="99"/>
      <c r="BN45" s="100"/>
      <c r="BO45" s="285"/>
      <c r="BP45" s="285"/>
    </row>
    <row r="46" spans="1:68" s="2" customFormat="1" ht="62.45" customHeight="1" thickBot="1" x14ac:dyDescent="0.25">
      <c r="A46" s="330">
        <v>3</v>
      </c>
      <c r="B46" s="542"/>
      <c r="C46" s="305" t="s">
        <v>218</v>
      </c>
      <c r="D46" s="331" t="s">
        <v>219</v>
      </c>
      <c r="E46" s="295" t="s">
        <v>220</v>
      </c>
      <c r="F46" s="322"/>
      <c r="G46" s="333">
        <v>1</v>
      </c>
      <c r="H46" s="323" t="s">
        <v>164</v>
      </c>
      <c r="I46" s="221"/>
      <c r="J46" s="81"/>
      <c r="K46" s="381"/>
      <c r="L46" s="382"/>
      <c r="M46" s="382"/>
      <c r="N46" s="381"/>
      <c r="O46" s="382"/>
      <c r="P46" s="382"/>
      <c r="Q46" s="382"/>
      <c r="R46" s="383"/>
      <c r="S46" s="381"/>
      <c r="T46" s="382"/>
      <c r="U46" s="382"/>
      <c r="V46" s="382"/>
      <c r="W46" s="383"/>
      <c r="X46" s="382"/>
      <c r="Y46" s="382"/>
      <c r="Z46" s="382"/>
      <c r="AA46" s="382"/>
      <c r="AB46" s="383"/>
      <c r="AC46" s="381"/>
      <c r="AD46" s="382"/>
      <c r="AE46" s="384"/>
      <c r="AF46" s="82"/>
      <c r="AG46" s="385"/>
      <c r="AH46" s="386"/>
      <c r="AI46" s="250"/>
      <c r="AJ46" s="250"/>
      <c r="AK46" s="387"/>
      <c r="AL46" s="388"/>
      <c r="AM46" s="221"/>
      <c r="AN46" s="81"/>
      <c r="AO46" s="389"/>
      <c r="AP46" s="382"/>
      <c r="AQ46" s="383"/>
      <c r="AR46" s="381"/>
      <c r="AS46" s="382"/>
      <c r="AT46" s="382"/>
      <c r="AU46" s="382"/>
      <c r="AV46" s="383"/>
      <c r="AW46" s="381"/>
      <c r="AX46" s="382"/>
      <c r="AY46" s="382"/>
      <c r="AZ46" s="382"/>
      <c r="BA46" s="383"/>
      <c r="BB46" s="381"/>
      <c r="BC46" s="382"/>
      <c r="BD46" s="382"/>
      <c r="BE46" s="382"/>
      <c r="BF46" s="383"/>
      <c r="BG46" s="381"/>
      <c r="BH46" s="382"/>
      <c r="BI46" s="384"/>
      <c r="BJ46" s="81"/>
      <c r="BK46" s="82"/>
      <c r="BL46" s="88"/>
      <c r="BM46" s="390"/>
      <c r="BN46" s="420"/>
      <c r="BO46" s="285"/>
      <c r="BP46" s="285"/>
    </row>
    <row r="47" spans="1:68" ht="40.5" hidden="1" customHeight="1" x14ac:dyDescent="0.2">
      <c r="A47" s="334">
        <v>1</v>
      </c>
      <c r="B47" s="543" t="s">
        <v>221</v>
      </c>
      <c r="C47" s="303" t="s">
        <v>222</v>
      </c>
      <c r="D47" s="325" t="s">
        <v>223</v>
      </c>
      <c r="E47" s="294" t="s">
        <v>224</v>
      </c>
      <c r="F47" s="335" t="s">
        <v>225</v>
      </c>
      <c r="G47" s="336" t="s">
        <v>143</v>
      </c>
      <c r="H47" s="317" t="s">
        <v>79</v>
      </c>
      <c r="I47" s="410"/>
      <c r="J47" s="415"/>
      <c r="K47" s="438" t="s">
        <v>376</v>
      </c>
      <c r="L47" s="439"/>
      <c r="M47" s="440"/>
      <c r="N47" s="441"/>
      <c r="O47" s="434"/>
      <c r="P47" s="434" t="s">
        <v>376</v>
      </c>
      <c r="Q47" s="439"/>
      <c r="R47" s="432"/>
      <c r="S47" s="419"/>
      <c r="T47" s="442"/>
      <c r="U47" s="438" t="s">
        <v>376</v>
      </c>
      <c r="V47" s="442"/>
      <c r="W47" s="416"/>
      <c r="X47" s="443"/>
      <c r="Y47" s="442"/>
      <c r="Z47" s="438" t="s">
        <v>376</v>
      </c>
      <c r="AA47" s="444"/>
      <c r="AB47" s="416"/>
      <c r="AC47" s="419"/>
      <c r="AD47" s="442"/>
      <c r="AE47" s="438" t="s">
        <v>376</v>
      </c>
      <c r="AF47" s="442"/>
      <c r="AG47" s="416"/>
      <c r="AH47" s="419"/>
      <c r="AI47" s="434"/>
      <c r="AJ47" s="438" t="s">
        <v>376</v>
      </c>
      <c r="AK47" s="442"/>
      <c r="AL47" s="415"/>
      <c r="AM47" s="419"/>
      <c r="AN47" s="442"/>
      <c r="AO47" s="442" t="s">
        <v>376</v>
      </c>
      <c r="AP47" s="444"/>
      <c r="AQ47" s="416"/>
      <c r="AR47" s="419"/>
      <c r="AS47" s="445"/>
      <c r="AT47" s="442" t="s">
        <v>376</v>
      </c>
      <c r="AU47" s="442"/>
      <c r="AV47" s="416"/>
      <c r="AW47" s="446"/>
      <c r="AX47" s="442"/>
      <c r="AY47" s="438" t="s">
        <v>376</v>
      </c>
      <c r="AZ47" s="444"/>
      <c r="BA47" s="416"/>
      <c r="BB47" s="419"/>
      <c r="BC47" s="442"/>
      <c r="BD47" s="442"/>
      <c r="BE47" s="444"/>
      <c r="BF47" s="416"/>
      <c r="BG47" s="433"/>
      <c r="BH47" s="442"/>
      <c r="BI47" s="442"/>
      <c r="BJ47" s="442"/>
      <c r="BK47" s="418"/>
      <c r="BL47" s="419"/>
      <c r="BM47" s="444"/>
      <c r="BN47" s="418"/>
      <c r="BO47" s="80"/>
      <c r="BP47" s="80"/>
    </row>
    <row r="48" spans="1:68" ht="40.5" hidden="1" customHeight="1" x14ac:dyDescent="0.2">
      <c r="A48" s="337">
        <v>2</v>
      </c>
      <c r="B48" s="544"/>
      <c r="C48" s="304" t="s">
        <v>226</v>
      </c>
      <c r="D48" s="327" t="s">
        <v>227</v>
      </c>
      <c r="E48" s="291" t="s">
        <v>228</v>
      </c>
      <c r="F48" s="338" t="s">
        <v>225</v>
      </c>
      <c r="G48" s="339" t="s">
        <v>143</v>
      </c>
      <c r="H48" s="313" t="s">
        <v>79</v>
      </c>
      <c r="I48" s="79"/>
      <c r="J48" s="113"/>
      <c r="K48" s="118">
        <v>1</v>
      </c>
      <c r="L48" s="121"/>
      <c r="M48" s="113"/>
      <c r="N48" s="117"/>
      <c r="O48" s="112"/>
      <c r="P48" s="112">
        <v>1</v>
      </c>
      <c r="Q48" s="121"/>
      <c r="R48" s="119"/>
      <c r="S48" s="87"/>
      <c r="T48" s="8"/>
      <c r="U48" s="118">
        <v>1</v>
      </c>
      <c r="V48" s="8"/>
      <c r="W48" s="10"/>
      <c r="X48" s="31"/>
      <c r="Y48" s="8"/>
      <c r="Z48" s="118">
        <v>1</v>
      </c>
      <c r="AA48" s="98"/>
      <c r="AB48" s="10"/>
      <c r="AC48" s="87"/>
      <c r="AD48" s="8"/>
      <c r="AE48" s="118">
        <v>1</v>
      </c>
      <c r="AF48" s="8"/>
      <c r="AG48" s="10"/>
      <c r="AH48" s="87"/>
      <c r="AI48" s="112"/>
      <c r="AJ48" s="118">
        <v>1</v>
      </c>
      <c r="AK48" s="8"/>
      <c r="AL48" s="23"/>
      <c r="AM48" s="87"/>
      <c r="AN48" s="8"/>
      <c r="AO48" s="8">
        <v>1</v>
      </c>
      <c r="AP48" s="98"/>
      <c r="AQ48" s="10"/>
      <c r="AR48" s="87"/>
      <c r="AS48" s="84"/>
      <c r="AT48" s="8">
        <v>1</v>
      </c>
      <c r="AU48" s="8"/>
      <c r="AV48" s="10"/>
      <c r="AW48" s="83"/>
      <c r="AX48" s="8"/>
      <c r="AY48" s="118">
        <v>1</v>
      </c>
      <c r="AZ48" s="98"/>
      <c r="BA48" s="10"/>
      <c r="BB48" s="87"/>
      <c r="BC48" s="8"/>
      <c r="BD48" s="8"/>
      <c r="BE48" s="98"/>
      <c r="BF48" s="10"/>
      <c r="BG48" s="9"/>
      <c r="BH48" s="8"/>
      <c r="BI48" s="8"/>
      <c r="BJ48" s="8"/>
      <c r="BK48" s="103"/>
      <c r="BL48" s="87"/>
      <c r="BM48" s="98"/>
      <c r="BN48" s="103"/>
      <c r="BO48" s="80"/>
      <c r="BP48" s="80"/>
    </row>
    <row r="49" spans="1:68" ht="41.25" hidden="1" customHeight="1" x14ac:dyDescent="0.2">
      <c r="A49" s="337">
        <v>3</v>
      </c>
      <c r="B49" s="544"/>
      <c r="C49" s="304" t="s">
        <v>229</v>
      </c>
      <c r="D49" s="314" t="s">
        <v>230</v>
      </c>
      <c r="E49" s="291" t="s">
        <v>231</v>
      </c>
      <c r="F49" s="338" t="s">
        <v>225</v>
      </c>
      <c r="G49" s="339" t="s">
        <v>143</v>
      </c>
      <c r="H49" s="313" t="s">
        <v>79</v>
      </c>
      <c r="I49" s="79"/>
      <c r="J49" s="23"/>
      <c r="K49" s="118">
        <v>1</v>
      </c>
      <c r="L49" s="121"/>
      <c r="M49" s="113"/>
      <c r="N49" s="117"/>
      <c r="O49" s="112"/>
      <c r="P49" s="112">
        <v>1</v>
      </c>
      <c r="Q49" s="121"/>
      <c r="R49" s="119"/>
      <c r="S49" s="87"/>
      <c r="T49" s="8"/>
      <c r="U49" s="118">
        <v>1</v>
      </c>
      <c r="V49" s="8"/>
      <c r="W49" s="10"/>
      <c r="X49" s="31"/>
      <c r="Y49" s="8"/>
      <c r="Z49" s="118">
        <v>1</v>
      </c>
      <c r="AA49" s="98"/>
      <c r="AB49" s="10"/>
      <c r="AC49" s="87"/>
      <c r="AD49" s="8"/>
      <c r="AE49" s="118">
        <v>1</v>
      </c>
      <c r="AF49" s="8"/>
      <c r="AG49" s="10"/>
      <c r="AH49" s="87"/>
      <c r="AI49" s="112"/>
      <c r="AJ49" s="118">
        <v>1</v>
      </c>
      <c r="AK49" s="8"/>
      <c r="AL49" s="23"/>
      <c r="AM49" s="87"/>
      <c r="AN49" s="8"/>
      <c r="AO49" s="8">
        <v>1</v>
      </c>
      <c r="AP49" s="98"/>
      <c r="AQ49" s="10"/>
      <c r="AR49" s="87"/>
      <c r="AS49" s="84"/>
      <c r="AT49" s="8">
        <v>1</v>
      </c>
      <c r="AU49" s="8"/>
      <c r="AV49" s="10"/>
      <c r="AW49" s="83"/>
      <c r="AX49" s="8"/>
      <c r="AY49" s="118">
        <v>1</v>
      </c>
      <c r="AZ49" s="98"/>
      <c r="BA49" s="10"/>
      <c r="BB49" s="87"/>
      <c r="BC49" s="8"/>
      <c r="BD49" s="8"/>
      <c r="BE49" s="98"/>
      <c r="BF49" s="10"/>
      <c r="BG49" s="9"/>
      <c r="BH49" s="8"/>
      <c r="BI49" s="8"/>
      <c r="BJ49" s="8"/>
      <c r="BK49" s="103"/>
      <c r="BL49" s="87"/>
      <c r="BM49" s="98"/>
      <c r="BN49" s="103"/>
      <c r="BO49" s="80"/>
      <c r="BP49" s="80"/>
    </row>
    <row r="50" spans="1:68" ht="41.25" hidden="1" customHeight="1" x14ac:dyDescent="0.2">
      <c r="A50" s="337">
        <v>4</v>
      </c>
      <c r="B50" s="544"/>
      <c r="C50" s="304" t="s">
        <v>232</v>
      </c>
      <c r="D50" s="314" t="s">
        <v>233</v>
      </c>
      <c r="E50" s="291" t="s">
        <v>234</v>
      </c>
      <c r="F50" s="338" t="s">
        <v>134</v>
      </c>
      <c r="G50" s="340">
        <v>1</v>
      </c>
      <c r="H50" s="313" t="s">
        <v>79</v>
      </c>
      <c r="I50" s="79"/>
      <c r="J50" s="23"/>
      <c r="K50" s="118">
        <v>1</v>
      </c>
      <c r="L50" s="121"/>
      <c r="M50" s="113"/>
      <c r="N50" s="117"/>
      <c r="O50" s="112"/>
      <c r="P50" s="112">
        <v>1</v>
      </c>
      <c r="Q50" s="121"/>
      <c r="R50" s="119"/>
      <c r="S50" s="87"/>
      <c r="T50" s="8"/>
      <c r="U50" s="118">
        <v>1</v>
      </c>
      <c r="V50" s="8"/>
      <c r="W50" s="10"/>
      <c r="X50" s="31"/>
      <c r="Y50" s="8"/>
      <c r="Z50" s="118">
        <v>1</v>
      </c>
      <c r="AA50" s="98"/>
      <c r="AB50" s="10"/>
      <c r="AC50" s="87"/>
      <c r="AD50" s="8"/>
      <c r="AE50" s="118">
        <v>1</v>
      </c>
      <c r="AF50" s="8"/>
      <c r="AG50" s="10"/>
      <c r="AH50" s="87"/>
      <c r="AI50" s="112"/>
      <c r="AJ50" s="118">
        <v>1</v>
      </c>
      <c r="AK50" s="8"/>
      <c r="AL50" s="23"/>
      <c r="AM50" s="87"/>
      <c r="AN50" s="8"/>
      <c r="AO50" s="8">
        <v>1</v>
      </c>
      <c r="AP50" s="98"/>
      <c r="AQ50" s="10"/>
      <c r="AR50" s="87"/>
      <c r="AS50" s="84"/>
      <c r="AT50" s="8">
        <v>1</v>
      </c>
      <c r="AU50" s="8"/>
      <c r="AV50" s="10"/>
      <c r="AW50" s="83"/>
      <c r="AX50" s="8"/>
      <c r="AY50" s="118">
        <v>1</v>
      </c>
      <c r="AZ50" s="98"/>
      <c r="BA50" s="10"/>
      <c r="BB50" s="87"/>
      <c r="BC50" s="8"/>
      <c r="BD50" s="8"/>
      <c r="BE50" s="98"/>
      <c r="BF50" s="10"/>
      <c r="BG50" s="9"/>
      <c r="BH50" s="8"/>
      <c r="BI50" s="8"/>
      <c r="BJ50" s="8"/>
      <c r="BK50" s="103"/>
      <c r="BL50" s="87"/>
      <c r="BM50" s="98"/>
      <c r="BN50" s="103"/>
      <c r="BO50" s="80"/>
      <c r="BP50" s="80"/>
    </row>
    <row r="51" spans="1:68" ht="41.25" hidden="1" customHeight="1" x14ac:dyDescent="0.2">
      <c r="A51" s="337">
        <v>5</v>
      </c>
      <c r="B51" s="544"/>
      <c r="C51" s="304" t="s">
        <v>235</v>
      </c>
      <c r="D51" s="447" t="s">
        <v>236</v>
      </c>
      <c r="E51" s="291" t="s">
        <v>237</v>
      </c>
      <c r="F51" s="338" t="s">
        <v>134</v>
      </c>
      <c r="G51" s="340">
        <v>1</v>
      </c>
      <c r="H51" s="313" t="s">
        <v>115</v>
      </c>
      <c r="I51" s="79"/>
      <c r="J51" s="74"/>
      <c r="K51" s="79"/>
      <c r="L51" s="74"/>
      <c r="M51" s="74"/>
      <c r="N51" s="79"/>
      <c r="O51" s="74"/>
      <c r="P51" s="74"/>
      <c r="Q51" s="74"/>
      <c r="R51" s="80"/>
      <c r="S51" s="79"/>
      <c r="T51" s="74"/>
      <c r="U51" s="357" t="s">
        <v>379</v>
      </c>
      <c r="V51" s="74"/>
      <c r="W51" s="80"/>
      <c r="X51" s="74"/>
      <c r="Y51" s="74"/>
      <c r="Z51" s="79"/>
      <c r="AA51" s="74"/>
      <c r="AB51" s="74"/>
      <c r="AC51" s="79"/>
      <c r="AD51" s="74"/>
      <c r="AE51" s="79"/>
      <c r="AF51" s="74"/>
      <c r="AG51" s="80"/>
      <c r="AH51" s="79"/>
      <c r="AI51" s="74"/>
      <c r="AJ51" s="357" t="s">
        <v>379</v>
      </c>
      <c r="AK51" s="357"/>
      <c r="AL51" s="373"/>
      <c r="AM51" s="79"/>
      <c r="AN51" s="74"/>
      <c r="AO51" s="74"/>
      <c r="AP51" s="74"/>
      <c r="AQ51" s="74"/>
      <c r="AR51" s="79"/>
      <c r="AS51" s="74"/>
      <c r="AT51" s="74"/>
      <c r="AU51" s="74"/>
      <c r="AV51" s="80"/>
      <c r="AW51" s="79"/>
      <c r="AX51" s="74"/>
      <c r="AY51" s="357" t="s">
        <v>379</v>
      </c>
      <c r="AZ51" s="357"/>
      <c r="BA51" s="372"/>
      <c r="BB51" s="79"/>
      <c r="BC51" s="74"/>
      <c r="BD51" s="74"/>
      <c r="BE51" s="74"/>
      <c r="BF51" s="74"/>
      <c r="BG51" s="79"/>
      <c r="BH51" s="74"/>
      <c r="BI51" s="74"/>
      <c r="BJ51" s="74"/>
      <c r="BK51" s="80"/>
      <c r="BL51" s="79"/>
      <c r="BM51" s="74"/>
      <c r="BN51" s="364"/>
      <c r="BO51" s="80"/>
      <c r="BP51" s="80"/>
    </row>
    <row r="52" spans="1:68" ht="58.5" hidden="1" customHeight="1" thickBot="1" x14ac:dyDescent="0.25">
      <c r="A52" s="341">
        <v>6</v>
      </c>
      <c r="B52" s="545"/>
      <c r="C52" s="305" t="s">
        <v>238</v>
      </c>
      <c r="D52" s="321" t="s">
        <v>239</v>
      </c>
      <c r="E52" s="295" t="s">
        <v>240</v>
      </c>
      <c r="F52" s="342" t="s">
        <v>134</v>
      </c>
      <c r="G52" s="343">
        <v>1</v>
      </c>
      <c r="H52" s="323" t="s">
        <v>164</v>
      </c>
      <c r="I52" s="221"/>
      <c r="J52" s="81"/>
      <c r="K52" s="381"/>
      <c r="L52" s="382"/>
      <c r="M52" s="382"/>
      <c r="N52" s="381"/>
      <c r="O52" s="382"/>
      <c r="P52" s="382"/>
      <c r="Q52" s="382"/>
      <c r="R52" s="383"/>
      <c r="S52" s="381"/>
      <c r="T52" s="382"/>
      <c r="U52" s="250" t="s">
        <v>379</v>
      </c>
      <c r="V52" s="382"/>
      <c r="W52" s="383"/>
      <c r="X52" s="382"/>
      <c r="Y52" s="382"/>
      <c r="Z52" s="382"/>
      <c r="AA52" s="382"/>
      <c r="AB52" s="383"/>
      <c r="AC52" s="381"/>
      <c r="AD52" s="382"/>
      <c r="AE52" s="384"/>
      <c r="AF52" s="383"/>
      <c r="AG52" s="385"/>
      <c r="AH52" s="386"/>
      <c r="AI52" s="250"/>
      <c r="AJ52" s="250" t="s">
        <v>379</v>
      </c>
      <c r="AK52" s="387"/>
      <c r="AL52" s="388"/>
      <c r="AM52" s="381"/>
      <c r="AN52" s="382"/>
      <c r="AO52" s="389"/>
      <c r="AP52" s="382"/>
      <c r="AQ52" s="383"/>
      <c r="AR52" s="381"/>
      <c r="AS52" s="382"/>
      <c r="AT52" s="382"/>
      <c r="AU52" s="382"/>
      <c r="AV52" s="383"/>
      <c r="AW52" s="381"/>
      <c r="AX52" s="382"/>
      <c r="AY52" s="382"/>
      <c r="AZ52" s="382"/>
      <c r="BA52" s="383"/>
      <c r="BB52" s="381"/>
      <c r="BC52" s="382"/>
      <c r="BD52" s="382"/>
      <c r="BE52" s="382"/>
      <c r="BF52" s="383"/>
      <c r="BG52" s="381"/>
      <c r="BH52" s="382"/>
      <c r="BI52" s="384"/>
      <c r="BJ52" s="382"/>
      <c r="BK52" s="383"/>
      <c r="BL52" s="88"/>
      <c r="BM52" s="390"/>
      <c r="BN52" s="391"/>
      <c r="BO52" s="82"/>
      <c r="BP52" s="82"/>
    </row>
    <row r="53" spans="1:68" s="2" customFormat="1" ht="45" hidden="1" customHeight="1" x14ac:dyDescent="0.2">
      <c r="A53" s="58">
        <v>1</v>
      </c>
      <c r="B53" s="546" t="s">
        <v>241</v>
      </c>
      <c r="C53" s="127" t="s">
        <v>242</v>
      </c>
      <c r="D53" s="25" t="s">
        <v>243</v>
      </c>
      <c r="E53" s="128" t="s">
        <v>244</v>
      </c>
      <c r="F53" s="292" t="s">
        <v>154</v>
      </c>
      <c r="G53" s="293" t="s">
        <v>143</v>
      </c>
      <c r="H53" s="123" t="s">
        <v>79</v>
      </c>
      <c r="I53" s="74"/>
      <c r="J53" s="73">
        <v>1</v>
      </c>
      <c r="K53" s="74"/>
      <c r="L53" s="74"/>
      <c r="M53" s="74"/>
      <c r="N53" s="79"/>
      <c r="O53" s="73">
        <v>0.52</v>
      </c>
      <c r="P53" s="74"/>
      <c r="Q53" s="74"/>
      <c r="R53" s="80"/>
      <c r="S53" s="79"/>
      <c r="T53" s="73">
        <v>0.84</v>
      </c>
      <c r="U53" s="74"/>
      <c r="V53" s="74"/>
      <c r="W53" s="80"/>
      <c r="X53" s="74"/>
      <c r="Y53" s="73">
        <v>0.92</v>
      </c>
      <c r="Z53" s="74"/>
      <c r="AA53" s="74"/>
      <c r="AB53" s="80"/>
      <c r="AC53" s="74"/>
      <c r="AD53" s="73">
        <v>0.92</v>
      </c>
      <c r="AE53" s="74"/>
      <c r="AF53" s="74"/>
      <c r="AG53" s="74"/>
      <c r="AH53" s="79"/>
      <c r="AI53" s="73">
        <v>0.92</v>
      </c>
      <c r="AJ53" s="74"/>
      <c r="AK53" s="74"/>
      <c r="AL53" s="74"/>
      <c r="AM53" s="79"/>
      <c r="AN53" s="74"/>
      <c r="AO53" s="74"/>
      <c r="AP53" s="74"/>
      <c r="AQ53" s="80"/>
      <c r="AR53" s="79"/>
      <c r="AS53" s="73"/>
      <c r="AT53" s="74"/>
      <c r="AU53" s="74"/>
      <c r="AV53" s="80"/>
      <c r="AW53" s="74"/>
      <c r="AX53" s="73"/>
      <c r="AY53" s="74"/>
      <c r="AZ53" s="74"/>
      <c r="BA53" s="80"/>
      <c r="BB53" s="79"/>
      <c r="BC53" s="73"/>
      <c r="BD53" s="74"/>
      <c r="BE53" s="74"/>
      <c r="BF53" s="80"/>
      <c r="BG53" s="79"/>
      <c r="BH53" s="73"/>
      <c r="BI53" s="74"/>
      <c r="BJ53" s="74"/>
      <c r="BK53" s="80"/>
      <c r="BL53" s="79"/>
      <c r="BM53" s="73"/>
      <c r="BN53" s="74"/>
      <c r="BO53" s="74"/>
      <c r="BP53" s="80"/>
    </row>
    <row r="54" spans="1:68" s="2" customFormat="1" ht="45" hidden="1" customHeight="1" x14ac:dyDescent="0.2">
      <c r="A54" s="59">
        <v>2</v>
      </c>
      <c r="B54" s="546"/>
      <c r="C54" s="129" t="s">
        <v>245</v>
      </c>
      <c r="D54" s="27" t="s">
        <v>246</v>
      </c>
      <c r="E54" s="128" t="s">
        <v>247</v>
      </c>
      <c r="F54" s="26" t="s">
        <v>248</v>
      </c>
      <c r="G54" s="24" t="s">
        <v>143</v>
      </c>
      <c r="H54" s="123" t="s">
        <v>79</v>
      </c>
      <c r="I54" s="74"/>
      <c r="J54" s="112">
        <v>1</v>
      </c>
      <c r="K54" s="74"/>
      <c r="L54" s="74"/>
      <c r="M54" s="74"/>
      <c r="N54" s="79"/>
      <c r="O54" s="112">
        <v>1</v>
      </c>
      <c r="P54" s="74"/>
      <c r="Q54" s="74"/>
      <c r="R54" s="80"/>
      <c r="S54" s="79"/>
      <c r="T54" s="8">
        <v>1</v>
      </c>
      <c r="U54" s="74"/>
      <c r="V54" s="74"/>
      <c r="W54" s="80"/>
      <c r="X54" s="74"/>
      <c r="Y54" s="8">
        <v>1</v>
      </c>
      <c r="Z54" s="74"/>
      <c r="AA54" s="74"/>
      <c r="AB54" s="80"/>
      <c r="AC54" s="74"/>
      <c r="AD54" s="8">
        <v>1</v>
      </c>
      <c r="AE54" s="74"/>
      <c r="AF54" s="74"/>
      <c r="AG54" s="74"/>
      <c r="AH54" s="79"/>
      <c r="AI54" s="8">
        <v>1</v>
      </c>
      <c r="AJ54" s="74"/>
      <c r="AK54" s="74"/>
      <c r="AL54" s="74"/>
      <c r="AM54" s="79"/>
      <c r="AN54" s="74"/>
      <c r="AO54" s="74"/>
      <c r="AP54" s="74"/>
      <c r="AQ54" s="80"/>
      <c r="AR54" s="79"/>
      <c r="AS54" s="8"/>
      <c r="AT54" s="74"/>
      <c r="AU54" s="74"/>
      <c r="AV54" s="80"/>
      <c r="AW54" s="74"/>
      <c r="AX54" s="8"/>
      <c r="AY54" s="74"/>
      <c r="AZ54" s="74"/>
      <c r="BA54" s="80"/>
      <c r="BB54" s="79"/>
      <c r="BC54" s="8"/>
      <c r="BD54" s="74"/>
      <c r="BE54" s="74"/>
      <c r="BF54" s="80"/>
      <c r="BG54" s="79"/>
      <c r="BH54" s="8"/>
      <c r="BI54" s="74"/>
      <c r="BJ54" s="74"/>
      <c r="BK54" s="80"/>
      <c r="BL54" s="79"/>
      <c r="BM54" s="8"/>
      <c r="BN54" s="74"/>
      <c r="BO54" s="74"/>
      <c r="BP54" s="80"/>
    </row>
    <row r="55" spans="1:68" s="2" customFormat="1" ht="45" hidden="1" customHeight="1" x14ac:dyDescent="0.2">
      <c r="A55" s="59">
        <v>3</v>
      </c>
      <c r="B55" s="546"/>
      <c r="C55" s="130" t="s">
        <v>249</v>
      </c>
      <c r="D55" s="28" t="s">
        <v>250</v>
      </c>
      <c r="E55" s="131" t="s">
        <v>251</v>
      </c>
      <c r="F55" s="26" t="s">
        <v>252</v>
      </c>
      <c r="G55" s="24" t="s">
        <v>143</v>
      </c>
      <c r="H55" s="123" t="s">
        <v>79</v>
      </c>
      <c r="I55" s="74"/>
      <c r="J55" s="8">
        <v>0.7</v>
      </c>
      <c r="K55" s="74"/>
      <c r="L55" s="74"/>
      <c r="M55" s="74"/>
      <c r="N55" s="79"/>
      <c r="O55" s="8">
        <v>0.75</v>
      </c>
      <c r="P55" s="74"/>
      <c r="Q55" s="74"/>
      <c r="R55" s="80"/>
      <c r="S55" s="79"/>
      <c r="T55" s="8">
        <v>0.8</v>
      </c>
      <c r="U55" s="74"/>
      <c r="V55" s="74"/>
      <c r="W55" s="80"/>
      <c r="X55" s="74"/>
      <c r="Y55" s="8">
        <v>1</v>
      </c>
      <c r="Z55" s="74"/>
      <c r="AA55" s="74"/>
      <c r="AB55" s="80"/>
      <c r="AC55" s="74"/>
      <c r="AD55" s="8">
        <v>1</v>
      </c>
      <c r="AE55" s="74"/>
      <c r="AF55" s="74"/>
      <c r="AG55" s="74"/>
      <c r="AH55" s="79"/>
      <c r="AI55" s="8">
        <v>1</v>
      </c>
      <c r="AJ55" s="74"/>
      <c r="AK55" s="74"/>
      <c r="AL55" s="74"/>
      <c r="AM55" s="79"/>
      <c r="AN55" s="74"/>
      <c r="AO55" s="74"/>
      <c r="AP55" s="74"/>
      <c r="AQ55" s="80"/>
      <c r="AR55" s="79"/>
      <c r="AS55" s="8"/>
      <c r="AT55" s="74"/>
      <c r="AU55" s="74"/>
      <c r="AV55" s="80"/>
      <c r="AW55" s="74"/>
      <c r="AX55" s="8"/>
      <c r="AY55" s="74"/>
      <c r="AZ55" s="74"/>
      <c r="BA55" s="80"/>
      <c r="BB55" s="79"/>
      <c r="BC55" s="8"/>
      <c r="BD55" s="74"/>
      <c r="BE55" s="74"/>
      <c r="BF55" s="80"/>
      <c r="BG55" s="79"/>
      <c r="BH55" s="8"/>
      <c r="BI55" s="74"/>
      <c r="BJ55" s="74"/>
      <c r="BK55" s="80"/>
      <c r="BL55" s="79"/>
      <c r="BM55" s="8"/>
      <c r="BN55" s="74"/>
      <c r="BO55" s="74"/>
      <c r="BP55" s="80"/>
    </row>
    <row r="56" spans="1:68" s="2" customFormat="1" ht="45" hidden="1" customHeight="1" x14ac:dyDescent="0.2">
      <c r="A56" s="59">
        <v>4</v>
      </c>
      <c r="B56" s="546"/>
      <c r="C56" s="130" t="s">
        <v>253</v>
      </c>
      <c r="D56" s="28" t="s">
        <v>254</v>
      </c>
      <c r="E56" s="131" t="s">
        <v>255</v>
      </c>
      <c r="F56" s="26" t="s">
        <v>252</v>
      </c>
      <c r="G56" s="24" t="s">
        <v>143</v>
      </c>
      <c r="H56" s="123" t="s">
        <v>79</v>
      </c>
      <c r="I56" s="74"/>
      <c r="J56" s="8">
        <v>1</v>
      </c>
      <c r="K56" s="74"/>
      <c r="L56" s="74"/>
      <c r="M56" s="74"/>
      <c r="N56" s="79"/>
      <c r="O56" s="8">
        <v>0.75</v>
      </c>
      <c r="P56" s="74"/>
      <c r="Q56" s="74"/>
      <c r="R56" s="80"/>
      <c r="S56" s="79"/>
      <c r="T56" s="8">
        <v>0.8</v>
      </c>
      <c r="U56" s="74"/>
      <c r="V56" s="74"/>
      <c r="W56" s="80"/>
      <c r="X56" s="74"/>
      <c r="Y56" s="8">
        <v>1</v>
      </c>
      <c r="Z56" s="74"/>
      <c r="AA56" s="74"/>
      <c r="AB56" s="80"/>
      <c r="AC56" s="74"/>
      <c r="AD56" s="8">
        <v>1</v>
      </c>
      <c r="AE56" s="74"/>
      <c r="AF56" s="74"/>
      <c r="AG56" s="74"/>
      <c r="AH56" s="79"/>
      <c r="AI56" s="8">
        <v>1</v>
      </c>
      <c r="AJ56" s="74"/>
      <c r="AK56" s="74"/>
      <c r="AL56" s="74"/>
      <c r="AM56" s="79"/>
      <c r="AN56" s="74"/>
      <c r="AO56" s="74"/>
      <c r="AP56" s="74"/>
      <c r="AQ56" s="80"/>
      <c r="AR56" s="79"/>
      <c r="AS56" s="8"/>
      <c r="AT56" s="74"/>
      <c r="AU56" s="74"/>
      <c r="AV56" s="80"/>
      <c r="AW56" s="74"/>
      <c r="AX56" s="8"/>
      <c r="AY56" s="74"/>
      <c r="AZ56" s="74"/>
      <c r="BA56" s="80"/>
      <c r="BB56" s="79"/>
      <c r="BC56" s="8"/>
      <c r="BD56" s="74"/>
      <c r="BE56" s="74"/>
      <c r="BF56" s="80"/>
      <c r="BG56" s="79"/>
      <c r="BH56" s="8"/>
      <c r="BI56" s="74"/>
      <c r="BJ56" s="74"/>
      <c r="BK56" s="80"/>
      <c r="BL56" s="79"/>
      <c r="BM56" s="8"/>
      <c r="BN56" s="74"/>
      <c r="BO56" s="74"/>
      <c r="BP56" s="80"/>
    </row>
    <row r="57" spans="1:68" s="2" customFormat="1" ht="45" hidden="1" customHeight="1" x14ac:dyDescent="0.2">
      <c r="A57" s="59">
        <v>5</v>
      </c>
      <c r="B57" s="547"/>
      <c r="C57" s="130" t="s">
        <v>256</v>
      </c>
      <c r="D57" s="28" t="s">
        <v>257</v>
      </c>
      <c r="E57" s="131" t="s">
        <v>258</v>
      </c>
      <c r="F57" s="26" t="s">
        <v>143</v>
      </c>
      <c r="G57" s="24" t="s">
        <v>143</v>
      </c>
      <c r="H57" s="123" t="s">
        <v>79</v>
      </c>
      <c r="I57" s="74"/>
      <c r="J57" s="8">
        <v>1</v>
      </c>
      <c r="K57" s="74"/>
      <c r="L57" s="74"/>
      <c r="M57" s="74"/>
      <c r="N57" s="79"/>
      <c r="O57" s="8">
        <v>1</v>
      </c>
      <c r="P57" s="74"/>
      <c r="Q57" s="74"/>
      <c r="R57" s="80"/>
      <c r="S57" s="79"/>
      <c r="T57" s="8">
        <v>1</v>
      </c>
      <c r="U57" s="74"/>
      <c r="V57" s="74"/>
      <c r="W57" s="80"/>
      <c r="X57" s="74"/>
      <c r="Y57" s="8">
        <v>1</v>
      </c>
      <c r="Z57" s="74"/>
      <c r="AA57" s="74"/>
      <c r="AB57" s="80"/>
      <c r="AC57" s="74"/>
      <c r="AD57" s="8">
        <v>1</v>
      </c>
      <c r="AE57" s="74"/>
      <c r="AF57" s="74"/>
      <c r="AG57" s="74"/>
      <c r="AH57" s="79"/>
      <c r="AI57" s="8">
        <v>1</v>
      </c>
      <c r="AJ57" s="74"/>
      <c r="AK57" s="74"/>
      <c r="AL57" s="74"/>
      <c r="AM57" s="79"/>
      <c r="AN57" s="74"/>
      <c r="AO57" s="74"/>
      <c r="AP57" s="74"/>
      <c r="AQ57" s="80"/>
      <c r="AR57" s="79"/>
      <c r="AS57" s="8"/>
      <c r="AT57" s="74"/>
      <c r="AU57" s="74"/>
      <c r="AV57" s="80"/>
      <c r="AW57" s="74"/>
      <c r="AX57" s="8"/>
      <c r="AY57" s="74"/>
      <c r="AZ57" s="74"/>
      <c r="BA57" s="80"/>
      <c r="BB57" s="79"/>
      <c r="BC57" s="8"/>
      <c r="BD57" s="74"/>
      <c r="BE57" s="74"/>
      <c r="BF57" s="80"/>
      <c r="BG57" s="79"/>
      <c r="BH57" s="8"/>
      <c r="BI57" s="74"/>
      <c r="BJ57" s="74"/>
      <c r="BK57" s="80"/>
      <c r="BL57" s="79"/>
      <c r="BM57" s="8"/>
      <c r="BN57" s="74"/>
      <c r="BO57" s="74"/>
      <c r="BP57" s="80"/>
    </row>
    <row r="58" spans="1:68" s="2" customFormat="1" ht="63.75" hidden="1" customHeight="1" x14ac:dyDescent="0.2">
      <c r="A58" s="60">
        <v>1</v>
      </c>
      <c r="B58" s="548" t="s">
        <v>259</v>
      </c>
      <c r="C58" s="132" t="s">
        <v>260</v>
      </c>
      <c r="D58" s="29" t="s">
        <v>261</v>
      </c>
      <c r="E58" s="133" t="s">
        <v>262</v>
      </c>
      <c r="F58" s="30" t="s">
        <v>263</v>
      </c>
      <c r="G58" s="24" t="s">
        <v>143</v>
      </c>
      <c r="H58" s="124" t="s">
        <v>264</v>
      </c>
      <c r="I58" s="116">
        <v>1</v>
      </c>
      <c r="J58" s="74"/>
      <c r="K58" s="74"/>
      <c r="L58" s="74"/>
      <c r="M58" s="74"/>
      <c r="N58" s="89">
        <v>2</v>
      </c>
      <c r="O58" s="74"/>
      <c r="P58" s="74"/>
      <c r="Q58" s="74"/>
      <c r="R58" s="80"/>
      <c r="S58" s="116">
        <v>1</v>
      </c>
      <c r="T58" s="74"/>
      <c r="U58" s="74"/>
      <c r="V58" s="74"/>
      <c r="W58" s="80"/>
      <c r="X58" s="31">
        <v>0.01</v>
      </c>
      <c r="Y58" s="74"/>
      <c r="Z58" s="74"/>
      <c r="AA58" s="74"/>
      <c r="AB58" s="80"/>
      <c r="AC58" s="111">
        <v>0</v>
      </c>
      <c r="AD58" s="74"/>
      <c r="AE58" s="74"/>
      <c r="AF58" s="74"/>
      <c r="AG58" s="74"/>
      <c r="AH58" s="118">
        <v>0.01</v>
      </c>
      <c r="AI58" s="74"/>
      <c r="AJ58" s="74"/>
      <c r="AK58" s="74"/>
      <c r="AL58" s="74"/>
      <c r="AM58" s="79"/>
      <c r="AN58" s="74"/>
      <c r="AO58" s="74"/>
      <c r="AP58" s="74"/>
      <c r="AQ58" s="80"/>
      <c r="AR58" s="79"/>
      <c r="AS58" s="74"/>
      <c r="AT58" s="74"/>
      <c r="AU58" s="74"/>
      <c r="AV58" s="80"/>
      <c r="AW58" s="74"/>
      <c r="AX58" s="74"/>
      <c r="AY58" s="74"/>
      <c r="AZ58" s="74"/>
      <c r="BA58" s="80"/>
      <c r="BB58" s="79"/>
      <c r="BC58" s="74"/>
      <c r="BD58" s="74"/>
      <c r="BE58" s="74"/>
      <c r="BF58" s="80"/>
      <c r="BG58" s="79"/>
      <c r="BH58" s="74"/>
      <c r="BI58" s="74"/>
      <c r="BJ58" s="74"/>
      <c r="BK58" s="80"/>
      <c r="BL58" s="79"/>
      <c r="BM58" s="74"/>
      <c r="BN58" s="74"/>
      <c r="BO58" s="74"/>
      <c r="BP58" s="80"/>
    </row>
    <row r="59" spans="1:68" s="2" customFormat="1" ht="45" hidden="1" customHeight="1" x14ac:dyDescent="0.2">
      <c r="A59" s="64">
        <v>2</v>
      </c>
      <c r="B59" s="549"/>
      <c r="C59" s="132" t="s">
        <v>265</v>
      </c>
      <c r="D59" s="29" t="s">
        <v>261</v>
      </c>
      <c r="E59" s="133" t="s">
        <v>266</v>
      </c>
      <c r="F59" s="30" t="s">
        <v>263</v>
      </c>
      <c r="G59" s="24" t="s">
        <v>143</v>
      </c>
      <c r="H59" s="125" t="s">
        <v>79</v>
      </c>
      <c r="I59" s="87">
        <v>9.5799999999999996E-2</v>
      </c>
      <c r="J59" s="74"/>
      <c r="K59" s="74"/>
      <c r="L59" s="74"/>
      <c r="M59" s="74"/>
      <c r="N59" s="117">
        <v>0.13739999999999999</v>
      </c>
      <c r="O59" s="74"/>
      <c r="P59" s="74"/>
      <c r="Q59" s="74"/>
      <c r="R59" s="80"/>
      <c r="S59" s="117">
        <v>0.1101</v>
      </c>
      <c r="T59" s="74"/>
      <c r="U59" s="74"/>
      <c r="V59" s="74"/>
      <c r="W59" s="80"/>
      <c r="X59" s="97">
        <v>0.1191</v>
      </c>
      <c r="Y59" s="74"/>
      <c r="Z59" s="74"/>
      <c r="AA59" s="74"/>
      <c r="AB59" s="80"/>
      <c r="AC59" s="122">
        <v>0.1426</v>
      </c>
      <c r="AD59" s="74"/>
      <c r="AE59" s="74"/>
      <c r="AF59" s="74"/>
      <c r="AG59" s="74"/>
      <c r="AH59" s="117">
        <v>0.1017</v>
      </c>
      <c r="AI59" s="74"/>
      <c r="AJ59" s="74"/>
      <c r="AK59" s="74"/>
      <c r="AL59" s="74"/>
      <c r="AM59" s="79"/>
      <c r="AN59" s="74"/>
      <c r="AO59" s="74"/>
      <c r="AP59" s="74"/>
      <c r="AQ59" s="80"/>
      <c r="AR59" s="79"/>
      <c r="AS59" s="74"/>
      <c r="AT59" s="74"/>
      <c r="AU59" s="74"/>
      <c r="AV59" s="80"/>
      <c r="AW59" s="74"/>
      <c r="AX59" s="74"/>
      <c r="AY59" s="74"/>
      <c r="AZ59" s="74"/>
      <c r="BA59" s="80"/>
      <c r="BB59" s="79"/>
      <c r="BC59" s="74"/>
      <c r="BD59" s="74"/>
      <c r="BE59" s="74"/>
      <c r="BF59" s="80"/>
      <c r="BG59" s="79"/>
      <c r="BH59" s="74"/>
      <c r="BI59" s="74"/>
      <c r="BJ59" s="74"/>
      <c r="BK59" s="80"/>
      <c r="BL59" s="79"/>
      <c r="BM59" s="74"/>
      <c r="BN59" s="74"/>
      <c r="BO59" s="74"/>
      <c r="BP59" s="80"/>
    </row>
    <row r="60" spans="1:68" s="2" customFormat="1" ht="45" hidden="1" customHeight="1" thickBot="1" x14ac:dyDescent="0.25">
      <c r="A60" s="61">
        <v>3</v>
      </c>
      <c r="B60" s="550"/>
      <c r="C60" s="134" t="s">
        <v>267</v>
      </c>
      <c r="D60" s="62" t="s">
        <v>268</v>
      </c>
      <c r="E60" s="135" t="s">
        <v>269</v>
      </c>
      <c r="F60" s="63" t="s">
        <v>270</v>
      </c>
      <c r="G60" s="24" t="s">
        <v>143</v>
      </c>
      <c r="H60" s="126" t="s">
        <v>79</v>
      </c>
      <c r="I60" s="88">
        <v>0</v>
      </c>
      <c r="J60" s="81"/>
      <c r="K60" s="81"/>
      <c r="L60" s="81"/>
      <c r="M60" s="81"/>
      <c r="N60" s="88">
        <v>0.1429</v>
      </c>
      <c r="O60" s="81"/>
      <c r="P60" s="81"/>
      <c r="Q60" s="81"/>
      <c r="R60" s="82"/>
      <c r="S60" s="223">
        <v>0.28570000000000001</v>
      </c>
      <c r="T60" s="81"/>
      <c r="U60" s="81"/>
      <c r="V60" s="81"/>
      <c r="W60" s="82"/>
      <c r="X60" s="72">
        <v>0.25</v>
      </c>
      <c r="Y60" s="81"/>
      <c r="Z60" s="81"/>
      <c r="AA60" s="81"/>
      <c r="AB60" s="82"/>
      <c r="AC60" s="219">
        <v>0.125</v>
      </c>
      <c r="AD60" s="81"/>
      <c r="AE60" s="81"/>
      <c r="AF60" s="81"/>
      <c r="AG60" s="81"/>
      <c r="AH60" s="220">
        <v>0.125</v>
      </c>
      <c r="AI60" s="81"/>
      <c r="AJ60" s="81"/>
      <c r="AK60" s="81"/>
      <c r="AL60" s="81"/>
      <c r="AM60" s="221"/>
      <c r="AN60" s="81"/>
      <c r="AO60" s="81"/>
      <c r="AP60" s="81"/>
      <c r="AQ60" s="82"/>
      <c r="AR60" s="221"/>
      <c r="AS60" s="81"/>
      <c r="AT60" s="81"/>
      <c r="AU60" s="81"/>
      <c r="AV60" s="82"/>
      <c r="AW60" s="81"/>
      <c r="AX60" s="81"/>
      <c r="AY60" s="81"/>
      <c r="AZ60" s="81"/>
      <c r="BA60" s="82"/>
      <c r="BB60" s="221"/>
      <c r="BC60" s="81"/>
      <c r="BD60" s="81"/>
      <c r="BE60" s="81"/>
      <c r="BF60" s="82"/>
      <c r="BG60" s="221"/>
      <c r="BH60" s="81"/>
      <c r="BI60" s="81"/>
      <c r="BJ60" s="81"/>
      <c r="BK60" s="82"/>
      <c r="BL60" s="221"/>
      <c r="BM60" s="81"/>
      <c r="BN60" s="81"/>
      <c r="BO60" s="81"/>
      <c r="BP60" s="82"/>
    </row>
  </sheetData>
  <sheetProtection deleteColumns="0" deleteRows="0"/>
  <mergeCells count="19">
    <mergeCell ref="A1:C2"/>
    <mergeCell ref="AO3:BN3"/>
    <mergeCell ref="U3:AJ3"/>
    <mergeCell ref="AO1:BN2"/>
    <mergeCell ref="D1:AJ2"/>
    <mergeCell ref="A3:C3"/>
    <mergeCell ref="D3:P3"/>
    <mergeCell ref="C24:C25"/>
    <mergeCell ref="D24:D25"/>
    <mergeCell ref="AO4:BN4"/>
    <mergeCell ref="K4:AJ4"/>
    <mergeCell ref="A4:H4"/>
    <mergeCell ref="B58:B60"/>
    <mergeCell ref="B20:B31"/>
    <mergeCell ref="B32:B43"/>
    <mergeCell ref="B6:B19"/>
    <mergeCell ref="B47:B52"/>
    <mergeCell ref="B53:B57"/>
    <mergeCell ref="B44:B46"/>
  </mergeCells>
  <phoneticPr fontId="6" type="noConversion"/>
  <printOptions horizontalCentered="1"/>
  <pageMargins left="0.15748031496062992" right="0.15748031496062992" top="0.27" bottom="0.2" header="0.27" footer="0.21"/>
  <pageSetup paperSize="9" scale="76" fitToHeight="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D249-3ACB-4AEB-B4C4-54E8CA252622}">
  <sheetPr>
    <tabColor rgb="FF00B050"/>
  </sheetPr>
  <dimension ref="B1:BC383"/>
  <sheetViews>
    <sheetView showGridLines="0" view="pageBreakPreview" topLeftCell="B1" zoomScale="80" zoomScaleNormal="85" zoomScaleSheetLayoutView="80" workbookViewId="0">
      <selection activeCell="E63" sqref="E63"/>
    </sheetView>
  </sheetViews>
  <sheetFormatPr baseColWidth="10" defaultColWidth="11.42578125" defaultRowHeight="13.5" x14ac:dyDescent="0.25"/>
  <cols>
    <col min="1" max="1" width="5" style="11" customWidth="1"/>
    <col min="2" max="2" width="3.42578125" style="18" customWidth="1"/>
    <col min="3" max="3" width="81.28515625" style="11" bestFit="1" customWidth="1"/>
    <col min="4" max="4" width="10.42578125" style="3" bestFit="1" customWidth="1"/>
    <col min="5" max="5" width="10.85546875" style="3" customWidth="1"/>
    <col min="6" max="6" width="11.42578125" style="3" bestFit="1" customWidth="1"/>
    <col min="7" max="7" width="10.7109375" style="3" bestFit="1" customWidth="1"/>
    <col min="8" max="8" width="11.42578125" style="11" bestFit="1" customWidth="1"/>
    <col min="9" max="9" width="10.42578125" style="11" bestFit="1" customWidth="1"/>
    <col min="10" max="10" width="9.5703125" style="11" bestFit="1" customWidth="1"/>
    <col min="11" max="11" width="11.7109375" style="11" bestFit="1" customWidth="1"/>
    <col min="12" max="12" width="9.85546875" style="11" bestFit="1" customWidth="1"/>
    <col min="13" max="13" width="10.85546875" style="11" bestFit="1" customWidth="1"/>
    <col min="14" max="14" width="11.42578125" style="11" bestFit="1" customWidth="1"/>
    <col min="15" max="15" width="11.140625" style="11" customWidth="1"/>
    <col min="16" max="16" width="22.7109375" style="11" customWidth="1"/>
    <col min="17" max="18" width="9.85546875" style="11" bestFit="1" customWidth="1"/>
    <col min="19" max="23" width="12.5703125" style="11" bestFit="1" customWidth="1"/>
    <col min="24" max="24" width="9" style="11" bestFit="1" customWidth="1"/>
    <col min="25" max="25" width="9.42578125" style="11" bestFit="1" customWidth="1"/>
    <col min="26" max="26" width="8.85546875" style="11" bestFit="1" customWidth="1"/>
    <col min="27" max="45" width="66.85546875" style="11" bestFit="1" customWidth="1"/>
    <col min="46" max="46" width="24.140625" style="11" bestFit="1" customWidth="1"/>
    <col min="47" max="47" width="23.7109375" style="11" bestFit="1" customWidth="1"/>
    <col min="48" max="48" width="23.5703125" style="11" bestFit="1" customWidth="1"/>
    <col min="49" max="49" width="23" style="11" bestFit="1" customWidth="1"/>
    <col min="50" max="50" width="24.140625" style="11" bestFit="1" customWidth="1"/>
    <col min="51" max="51" width="24.28515625" style="11" bestFit="1" customWidth="1"/>
    <col min="52" max="52" width="24.140625" style="11" bestFit="1" customWidth="1"/>
    <col min="53" max="53" width="24.28515625" style="11" bestFit="1" customWidth="1"/>
    <col min="54" max="54" width="24.5703125" style="11" bestFit="1" customWidth="1"/>
    <col min="55" max="55" width="23.5703125" style="11" bestFit="1" customWidth="1"/>
    <col min="56" max="16384" width="11.42578125" style="11"/>
  </cols>
  <sheetData>
    <row r="1" spans="2:23" ht="7.5" customHeight="1" thickBot="1" x14ac:dyDescent="0.3"/>
    <row r="2" spans="2:23" x14ac:dyDescent="0.25">
      <c r="B2" s="38"/>
      <c r="C2" s="17"/>
      <c r="D2" s="32"/>
      <c r="E2" s="32"/>
      <c r="F2" s="32"/>
      <c r="G2" s="32"/>
      <c r="H2" s="17"/>
      <c r="I2" s="17"/>
      <c r="J2" s="17"/>
      <c r="K2" s="17"/>
      <c r="L2" s="17"/>
      <c r="M2" s="17"/>
      <c r="N2" s="17"/>
      <c r="O2" s="17"/>
      <c r="P2" s="12"/>
    </row>
    <row r="3" spans="2:23" x14ac:dyDescent="0.25">
      <c r="B3" s="39"/>
      <c r="P3" s="13"/>
    </row>
    <row r="4" spans="2:23" ht="23.25" customHeight="1" thickBot="1" x14ac:dyDescent="0.3">
      <c r="B4" s="41"/>
      <c r="C4" s="15"/>
      <c r="D4" s="33"/>
      <c r="E4" s="33"/>
      <c r="F4" s="33"/>
      <c r="G4" s="33"/>
      <c r="H4" s="15"/>
      <c r="I4" s="15"/>
      <c r="J4" s="15"/>
      <c r="K4" s="15"/>
      <c r="L4" s="15"/>
      <c r="M4" s="15"/>
      <c r="N4" s="15"/>
      <c r="O4" s="15"/>
      <c r="P4" s="16"/>
    </row>
    <row r="5" spans="2:23" ht="14.25" customHeight="1" x14ac:dyDescent="0.25">
      <c r="B5" s="556" t="s">
        <v>380</v>
      </c>
      <c r="C5" s="557"/>
      <c r="D5" s="557"/>
      <c r="E5" s="557"/>
      <c r="F5" s="557"/>
      <c r="G5" s="557"/>
      <c r="H5" s="557"/>
      <c r="I5" s="557"/>
      <c r="J5" s="557"/>
      <c r="K5" s="557"/>
      <c r="L5" s="557"/>
      <c r="M5" s="557"/>
      <c r="N5" s="557"/>
      <c r="O5" s="557"/>
      <c r="P5" s="558"/>
    </row>
    <row r="6" spans="2:23" ht="19.5" customHeight="1" thickBot="1" x14ac:dyDescent="0.3">
      <c r="B6" s="559"/>
      <c r="C6" s="560"/>
      <c r="D6" s="560"/>
      <c r="E6" s="560"/>
      <c r="F6" s="560"/>
      <c r="G6" s="560"/>
      <c r="H6" s="560"/>
      <c r="I6" s="560"/>
      <c r="J6" s="560"/>
      <c r="K6" s="560"/>
      <c r="L6" s="560"/>
      <c r="M6" s="560"/>
      <c r="N6" s="560"/>
      <c r="O6" s="560"/>
      <c r="P6" s="561"/>
    </row>
    <row r="7" spans="2:23" s="51" customFormat="1" ht="18.75" customHeight="1" thickBot="1" x14ac:dyDescent="0.25">
      <c r="B7" s="551" t="s">
        <v>369</v>
      </c>
      <c r="C7" s="552"/>
      <c r="D7" s="553" t="s">
        <v>381</v>
      </c>
      <c r="E7" s="554"/>
      <c r="F7" s="554"/>
      <c r="G7" s="554"/>
      <c r="H7" s="554"/>
      <c r="I7" s="554"/>
      <c r="J7" s="554"/>
      <c r="K7" s="554" t="s">
        <v>382</v>
      </c>
      <c r="L7" s="554"/>
      <c r="M7" s="554"/>
      <c r="N7" s="554"/>
      <c r="O7" s="554"/>
      <c r="P7" s="555"/>
    </row>
    <row r="8" spans="2:23" ht="12.75" customHeight="1" thickBot="1" x14ac:dyDescent="0.3">
      <c r="B8" s="92"/>
      <c r="C8" s="90"/>
      <c r="D8" s="93"/>
      <c r="E8" s="93"/>
      <c r="F8" s="93"/>
      <c r="G8" s="93"/>
      <c r="H8" s="90"/>
      <c r="I8" s="90"/>
      <c r="J8" s="90"/>
      <c r="K8" s="90"/>
      <c r="L8" s="90"/>
      <c r="M8" s="90"/>
      <c r="N8" s="90"/>
      <c r="O8" s="90"/>
      <c r="P8" s="91"/>
    </row>
    <row r="9" spans="2:23" ht="12.75" customHeight="1" thickBot="1" x14ac:dyDescent="0.3">
      <c r="B9" s="38"/>
      <c r="C9" s="17"/>
      <c r="D9" s="32"/>
      <c r="E9" s="32"/>
      <c r="F9" s="32"/>
      <c r="G9" s="32"/>
      <c r="H9" s="17"/>
      <c r="I9" s="17"/>
      <c r="J9" s="17"/>
      <c r="K9" s="17"/>
      <c r="L9" s="17"/>
      <c r="M9" s="17"/>
      <c r="N9" s="17"/>
      <c r="O9" s="17"/>
      <c r="P9" s="12"/>
    </row>
    <row r="10" spans="2:23" s="2" customFormat="1" ht="33.75" thickBot="1" x14ac:dyDescent="0.3">
      <c r="B10" s="50" t="s">
        <v>271</v>
      </c>
      <c r="C10" s="217" t="s">
        <v>272</v>
      </c>
      <c r="D10" s="17" t="s">
        <v>273</v>
      </c>
      <c r="E10" s="17" t="s">
        <v>274</v>
      </c>
      <c r="F10" s="17" t="s">
        <v>275</v>
      </c>
      <c r="G10" s="12" t="s">
        <v>276</v>
      </c>
      <c r="H10"/>
      <c r="I10"/>
      <c r="J10" s="42"/>
      <c r="K10" s="42"/>
      <c r="L10" s="42"/>
      <c r="M10" s="42"/>
      <c r="N10" s="42"/>
      <c r="O10" s="42"/>
      <c r="P10" s="46"/>
      <c r="Q10" s="42"/>
      <c r="R10" s="42"/>
      <c r="S10" s="42"/>
      <c r="T10" s="42"/>
      <c r="U10" s="42"/>
      <c r="V10" s="42"/>
      <c r="W10" s="42"/>
    </row>
    <row r="11" spans="2:23" s="3" customFormat="1" ht="44.1" customHeight="1" thickBot="1" x14ac:dyDescent="0.25">
      <c r="B11" s="40"/>
      <c r="C11" s="150" t="s">
        <v>277</v>
      </c>
      <c r="D11" s="267">
        <v>0.47</v>
      </c>
      <c r="E11" s="268">
        <v>0</v>
      </c>
      <c r="F11" s="268">
        <v>0.77</v>
      </c>
      <c r="G11" s="269">
        <v>0</v>
      </c>
      <c r="H11"/>
      <c r="I11"/>
      <c r="J11" s="34"/>
      <c r="K11" s="34"/>
      <c r="L11" s="34"/>
      <c r="M11" s="34"/>
      <c r="N11" s="34"/>
      <c r="O11" s="34"/>
      <c r="P11" s="47"/>
      <c r="Q11" s="34"/>
      <c r="R11" s="34"/>
      <c r="S11" s="34"/>
      <c r="T11" s="34"/>
      <c r="U11" s="34"/>
      <c r="V11" s="34"/>
      <c r="W11" s="34"/>
    </row>
    <row r="12" spans="2:23" ht="14.25" hidden="1" thickBot="1" x14ac:dyDescent="0.3">
      <c r="B12" s="39"/>
      <c r="C12" s="20" t="s">
        <v>278</v>
      </c>
      <c r="D12" s="264">
        <v>0.47</v>
      </c>
      <c r="E12" s="33">
        <v>0</v>
      </c>
      <c r="F12" s="33">
        <v>0.77</v>
      </c>
      <c r="G12" s="265">
        <v>0</v>
      </c>
      <c r="H12"/>
      <c r="I12"/>
      <c r="J12"/>
      <c r="K12"/>
      <c r="L12"/>
      <c r="M12"/>
      <c r="N12"/>
      <c r="O12"/>
      <c r="P12" s="48"/>
      <c r="Q12"/>
      <c r="R12"/>
      <c r="S12"/>
      <c r="T12"/>
      <c r="U12"/>
      <c r="V12"/>
      <c r="W12"/>
    </row>
    <row r="13" spans="2:23" hidden="1" x14ac:dyDescent="0.25">
      <c r="B13" s="39"/>
      <c r="C13"/>
      <c r="D13"/>
      <c r="E13"/>
      <c r="F13"/>
      <c r="G13"/>
      <c r="H13"/>
      <c r="P13" s="13"/>
    </row>
    <row r="14" spans="2:23" x14ac:dyDescent="0.25">
      <c r="B14" s="39"/>
      <c r="C14"/>
      <c r="D14"/>
      <c r="P14" s="13"/>
    </row>
    <row r="15" spans="2:23" x14ac:dyDescent="0.25">
      <c r="B15" s="39"/>
      <c r="C15"/>
      <c r="D15"/>
      <c r="P15" s="13"/>
    </row>
    <row r="16" spans="2:23" x14ac:dyDescent="0.25">
      <c r="B16" s="39"/>
      <c r="C16"/>
      <c r="D16"/>
      <c r="P16" s="13"/>
    </row>
    <row r="17" spans="2:16" x14ac:dyDescent="0.25">
      <c r="B17" s="39"/>
      <c r="C17"/>
      <c r="D17"/>
      <c r="P17" s="13"/>
    </row>
    <row r="18" spans="2:16" x14ac:dyDescent="0.25">
      <c r="B18" s="39"/>
      <c r="C18"/>
      <c r="D18"/>
      <c r="P18" s="13"/>
    </row>
    <row r="19" spans="2:16" x14ac:dyDescent="0.25">
      <c r="B19" s="39"/>
      <c r="C19"/>
      <c r="D19"/>
      <c r="P19" s="13"/>
    </row>
    <row r="20" spans="2:16" x14ac:dyDescent="0.25">
      <c r="B20" s="39"/>
      <c r="C20"/>
      <c r="D20"/>
      <c r="P20" s="13"/>
    </row>
    <row r="21" spans="2:16" x14ac:dyDescent="0.25">
      <c r="B21" s="39"/>
      <c r="C21"/>
      <c r="D21"/>
      <c r="P21" s="13"/>
    </row>
    <row r="22" spans="2:16" ht="12.75" customHeight="1" x14ac:dyDescent="0.25">
      <c r="B22" s="39"/>
      <c r="P22" s="13"/>
    </row>
    <row r="23" spans="2:16" ht="12.75" customHeight="1" x14ac:dyDescent="0.25">
      <c r="B23" s="39"/>
      <c r="P23" s="13"/>
    </row>
    <row r="24" spans="2:16" ht="12.75" customHeight="1" x14ac:dyDescent="0.25">
      <c r="B24" s="39"/>
      <c r="P24" s="13"/>
    </row>
    <row r="25" spans="2:16" ht="12.75" customHeight="1" x14ac:dyDescent="0.25">
      <c r="B25" s="39"/>
      <c r="P25" s="13"/>
    </row>
    <row r="26" spans="2:16" ht="12.75" customHeight="1" x14ac:dyDescent="0.25">
      <c r="B26" s="39"/>
      <c r="P26" s="13"/>
    </row>
    <row r="27" spans="2:16" ht="12.75" customHeight="1" x14ac:dyDescent="0.25">
      <c r="B27" s="39"/>
      <c r="P27" s="13"/>
    </row>
    <row r="28" spans="2:16" ht="12.75" customHeight="1" x14ac:dyDescent="0.25">
      <c r="B28" s="39"/>
      <c r="P28" s="13"/>
    </row>
    <row r="29" spans="2:16" ht="12.75" customHeight="1" x14ac:dyDescent="0.25">
      <c r="B29" s="39"/>
      <c r="P29" s="13"/>
    </row>
    <row r="30" spans="2:16" ht="12.75" customHeight="1" x14ac:dyDescent="0.25">
      <c r="B30" s="39"/>
      <c r="P30" s="13"/>
    </row>
    <row r="31" spans="2:16" ht="12.75" customHeight="1" x14ac:dyDescent="0.25">
      <c r="B31" s="39"/>
      <c r="P31" s="13"/>
    </row>
    <row r="32" spans="2:16" ht="12.75" customHeight="1" x14ac:dyDescent="0.25">
      <c r="B32" s="39"/>
      <c r="P32" s="13"/>
    </row>
    <row r="33" spans="2:23" ht="12.75" customHeight="1" x14ac:dyDescent="0.25">
      <c r="B33" s="39"/>
      <c r="P33" s="13"/>
    </row>
    <row r="34" spans="2:23" ht="12.75" customHeight="1" x14ac:dyDescent="0.25">
      <c r="B34" s="39"/>
      <c r="P34" s="13"/>
    </row>
    <row r="35" spans="2:23" ht="12.75" customHeight="1" x14ac:dyDescent="0.25">
      <c r="B35" s="39"/>
      <c r="P35" s="13"/>
    </row>
    <row r="36" spans="2:23" ht="12.75" customHeight="1" x14ac:dyDescent="0.25">
      <c r="B36" s="39"/>
      <c r="P36" s="13"/>
    </row>
    <row r="37" spans="2:23" ht="12.75" customHeight="1" x14ac:dyDescent="0.25">
      <c r="B37" s="39"/>
      <c r="P37" s="13"/>
    </row>
    <row r="38" spans="2:23" ht="12.75" customHeight="1" x14ac:dyDescent="0.25">
      <c r="B38" s="39"/>
      <c r="P38" s="13"/>
    </row>
    <row r="39" spans="2:23" ht="12.75" customHeight="1" thickBot="1" x14ac:dyDescent="0.3">
      <c r="B39" s="39"/>
      <c r="P39" s="13"/>
    </row>
    <row r="40" spans="2:23" ht="17.25" thickBot="1" x14ac:dyDescent="0.35">
      <c r="B40" s="39"/>
      <c r="C40" s="142" t="s">
        <v>279</v>
      </c>
      <c r="D40" s="143" t="s">
        <v>280</v>
      </c>
      <c r="E40" s="144" t="s">
        <v>281</v>
      </c>
      <c r="F40" s="144" t="s">
        <v>282</v>
      </c>
      <c r="G40" s="144" t="s">
        <v>283</v>
      </c>
      <c r="H40" s="145" t="s">
        <v>284</v>
      </c>
      <c r="I40" s="146" t="s">
        <v>285</v>
      </c>
      <c r="J40" s="147" t="s">
        <v>286</v>
      </c>
      <c r="K40" s="148" t="s">
        <v>287</v>
      </c>
      <c r="L40" s="143" t="s">
        <v>288</v>
      </c>
      <c r="M40" s="144" t="s">
        <v>289</v>
      </c>
      <c r="N40" s="148" t="s">
        <v>273</v>
      </c>
      <c r="O40" s="149" t="s">
        <v>290</v>
      </c>
      <c r="P40" s="48"/>
      <c r="Q40"/>
      <c r="R40"/>
      <c r="S40"/>
      <c r="T40"/>
      <c r="U40"/>
      <c r="V40"/>
      <c r="W40"/>
    </row>
    <row r="41" spans="2:23" s="22" customFormat="1" ht="41.1" customHeight="1" thickBot="1" x14ac:dyDescent="0.25">
      <c r="B41" s="52"/>
      <c r="C41" s="150" t="s">
        <v>69</v>
      </c>
      <c r="D41" s="267">
        <v>0</v>
      </c>
      <c r="E41" s="268">
        <v>0</v>
      </c>
      <c r="F41" s="268">
        <v>0.45</v>
      </c>
      <c r="G41" s="268">
        <v>1.02</v>
      </c>
      <c r="H41" s="267">
        <v>0.8</v>
      </c>
      <c r="I41" s="269">
        <v>0.68</v>
      </c>
      <c r="J41" s="269">
        <v>0.57999999999999996</v>
      </c>
      <c r="K41" s="268">
        <v>0.65</v>
      </c>
      <c r="L41" s="268">
        <v>0.56999999999999995</v>
      </c>
      <c r="M41" s="268">
        <v>0.50800000000000001</v>
      </c>
      <c r="N41" s="268">
        <v>0.47</v>
      </c>
      <c r="O41" s="269"/>
      <c r="P41" s="48"/>
      <c r="Q41"/>
      <c r="R41"/>
      <c r="S41" s="21"/>
      <c r="T41" s="21"/>
      <c r="U41" s="21"/>
      <c r="V41" s="21"/>
      <c r="W41" s="21"/>
    </row>
    <row r="42" spans="2:23" ht="14.25" hidden="1" thickBot="1" x14ac:dyDescent="0.3">
      <c r="B42" s="39"/>
      <c r="C42" s="20" t="s">
        <v>278</v>
      </c>
      <c r="D42" s="264">
        <v>0</v>
      </c>
      <c r="E42" s="33">
        <v>0</v>
      </c>
      <c r="F42" s="33">
        <v>0.45</v>
      </c>
      <c r="G42" s="33">
        <v>1.02</v>
      </c>
      <c r="H42" s="264">
        <v>0.8</v>
      </c>
      <c r="I42" s="265">
        <v>0.68</v>
      </c>
      <c r="J42" s="265">
        <v>0.57999999999999996</v>
      </c>
      <c r="K42" s="33">
        <v>0.65</v>
      </c>
      <c r="L42" s="33">
        <v>0.56999999999999995</v>
      </c>
      <c r="M42" s="33">
        <v>0.50800000000000001</v>
      </c>
      <c r="N42" s="33">
        <v>0.47</v>
      </c>
      <c r="O42" s="265"/>
      <c r="P42" s="48"/>
      <c r="Q42"/>
      <c r="R42"/>
      <c r="S42"/>
      <c r="T42"/>
      <c r="U42"/>
      <c r="V42"/>
      <c r="W42"/>
    </row>
    <row r="43" spans="2:23" x14ac:dyDescent="0.25">
      <c r="B43" s="39"/>
      <c r="C43"/>
      <c r="D43" s="34"/>
      <c r="E43" s="34"/>
      <c r="F43" s="34"/>
      <c r="G43" s="34"/>
      <c r="H43"/>
      <c r="J43"/>
      <c r="K43"/>
      <c r="L43"/>
      <c r="M43"/>
      <c r="N43"/>
      <c r="O43"/>
      <c r="P43" s="48"/>
      <c r="Q43"/>
      <c r="R43"/>
      <c r="S43"/>
      <c r="T43"/>
      <c r="U43"/>
      <c r="V43"/>
      <c r="W43"/>
    </row>
    <row r="44" spans="2:23" x14ac:dyDescent="0.25">
      <c r="B44" s="39"/>
      <c r="C44"/>
      <c r="D44" s="34"/>
      <c r="E44" s="34"/>
      <c r="F44" s="34"/>
      <c r="G44" s="34"/>
      <c r="H44"/>
      <c r="J44"/>
      <c r="K44"/>
      <c r="L44"/>
      <c r="M44"/>
      <c r="N44"/>
      <c r="O44"/>
      <c r="P44" s="48"/>
      <c r="Q44"/>
      <c r="R44"/>
      <c r="S44"/>
      <c r="T44"/>
      <c r="U44"/>
      <c r="V44"/>
      <c r="W44"/>
    </row>
    <row r="45" spans="2:23" x14ac:dyDescent="0.25">
      <c r="B45" s="39"/>
      <c r="C45"/>
      <c r="D45" s="34"/>
      <c r="E45" s="34"/>
      <c r="F45" s="34"/>
      <c r="G45" s="34"/>
      <c r="H45"/>
      <c r="J45"/>
      <c r="K45"/>
      <c r="L45"/>
      <c r="M45"/>
      <c r="N45"/>
      <c r="O45"/>
      <c r="P45" s="48"/>
      <c r="Q45"/>
      <c r="R45"/>
      <c r="S45"/>
      <c r="T45"/>
      <c r="U45"/>
      <c r="V45"/>
      <c r="W45"/>
    </row>
    <row r="46" spans="2:23" x14ac:dyDescent="0.25">
      <c r="B46" s="39"/>
      <c r="C46"/>
      <c r="D46" s="34"/>
      <c r="E46" s="34"/>
      <c r="F46" s="34"/>
      <c r="G46" s="34"/>
      <c r="H46"/>
      <c r="J46"/>
      <c r="K46"/>
      <c r="L46"/>
      <c r="M46"/>
      <c r="N46"/>
      <c r="O46"/>
      <c r="P46" s="48"/>
      <c r="Q46"/>
      <c r="R46"/>
      <c r="S46"/>
      <c r="T46"/>
      <c r="U46"/>
      <c r="V46"/>
      <c r="W46"/>
    </row>
    <row r="47" spans="2:23" x14ac:dyDescent="0.25">
      <c r="B47" s="39"/>
      <c r="C47"/>
      <c r="D47" s="34"/>
      <c r="E47" s="34"/>
      <c r="F47" s="34"/>
      <c r="G47" s="34"/>
      <c r="H47"/>
      <c r="J47"/>
      <c r="K47"/>
      <c r="L47"/>
      <c r="M47"/>
      <c r="N47"/>
      <c r="O47"/>
      <c r="P47" s="48"/>
      <c r="Q47"/>
      <c r="R47"/>
      <c r="S47"/>
      <c r="T47"/>
      <c r="U47"/>
      <c r="V47"/>
      <c r="W47"/>
    </row>
    <row r="48" spans="2:23" x14ac:dyDescent="0.25">
      <c r="B48" s="39"/>
      <c r="C48"/>
      <c r="D48" s="34"/>
      <c r="E48" s="34"/>
      <c r="F48" s="34"/>
      <c r="G48" s="34"/>
      <c r="H48"/>
      <c r="J48"/>
      <c r="K48"/>
      <c r="L48"/>
      <c r="M48"/>
      <c r="N48"/>
      <c r="O48"/>
      <c r="P48" s="48"/>
      <c r="Q48"/>
      <c r="R48"/>
      <c r="S48"/>
      <c r="T48"/>
      <c r="U48"/>
      <c r="V48"/>
      <c r="W48"/>
    </row>
    <row r="49" spans="2:23" x14ac:dyDescent="0.25">
      <c r="B49" s="39"/>
      <c r="C49"/>
      <c r="D49" s="34"/>
      <c r="E49" s="34"/>
      <c r="F49" s="34"/>
      <c r="G49" s="34"/>
      <c r="H49"/>
      <c r="J49"/>
      <c r="K49"/>
      <c r="L49"/>
      <c r="M49"/>
      <c r="N49"/>
      <c r="O49"/>
      <c r="P49" s="48"/>
      <c r="Q49"/>
      <c r="R49"/>
      <c r="S49"/>
      <c r="T49"/>
      <c r="U49"/>
      <c r="V49"/>
      <c r="W49"/>
    </row>
    <row r="50" spans="2:23" x14ac:dyDescent="0.25">
      <c r="B50" s="39"/>
      <c r="C50"/>
      <c r="D50" s="34"/>
      <c r="E50" s="34"/>
      <c r="F50" s="34"/>
      <c r="G50" s="34"/>
      <c r="H50"/>
      <c r="J50"/>
      <c r="K50"/>
      <c r="L50"/>
      <c r="M50"/>
      <c r="N50"/>
      <c r="O50"/>
      <c r="P50" s="48"/>
      <c r="Q50"/>
      <c r="R50"/>
      <c r="S50"/>
      <c r="T50"/>
      <c r="U50"/>
      <c r="V50"/>
      <c r="W50"/>
    </row>
    <row r="51" spans="2:23" x14ac:dyDescent="0.25">
      <c r="B51" s="39"/>
      <c r="C51"/>
      <c r="D51" s="34"/>
      <c r="E51" s="34"/>
      <c r="F51" s="34"/>
      <c r="G51" s="34"/>
      <c r="H51"/>
      <c r="J51"/>
      <c r="K51"/>
      <c r="L51"/>
      <c r="M51"/>
      <c r="N51"/>
      <c r="O51"/>
      <c r="P51" s="48"/>
      <c r="Q51"/>
      <c r="R51"/>
      <c r="S51"/>
      <c r="T51"/>
      <c r="U51"/>
      <c r="V51"/>
      <c r="W51"/>
    </row>
    <row r="52" spans="2:23" x14ac:dyDescent="0.25">
      <c r="B52" s="39"/>
      <c r="C52"/>
      <c r="D52" s="34"/>
      <c r="E52" s="34"/>
      <c r="F52" s="34"/>
      <c r="G52" s="34"/>
      <c r="H52"/>
      <c r="J52"/>
      <c r="K52"/>
      <c r="L52"/>
      <c r="M52"/>
      <c r="N52"/>
      <c r="O52"/>
      <c r="P52" s="48"/>
      <c r="Q52"/>
      <c r="R52"/>
      <c r="S52"/>
      <c r="T52"/>
      <c r="U52"/>
      <c r="V52"/>
      <c r="W52"/>
    </row>
    <row r="53" spans="2:23" x14ac:dyDescent="0.25">
      <c r="B53" s="39"/>
      <c r="C53"/>
      <c r="D53" s="34"/>
      <c r="E53" s="34"/>
      <c r="F53" s="34"/>
      <c r="G53" s="34"/>
      <c r="H53"/>
      <c r="J53"/>
      <c r="K53"/>
      <c r="L53"/>
      <c r="M53"/>
      <c r="N53"/>
      <c r="O53"/>
      <c r="P53" s="48"/>
      <c r="Q53"/>
      <c r="R53"/>
      <c r="S53"/>
      <c r="T53"/>
      <c r="U53"/>
      <c r="V53"/>
      <c r="W53"/>
    </row>
    <row r="54" spans="2:23" x14ac:dyDescent="0.25">
      <c r="B54" s="39"/>
      <c r="C54"/>
      <c r="D54" s="34"/>
      <c r="E54" s="34"/>
      <c r="F54" s="34"/>
      <c r="G54" s="34"/>
      <c r="H54"/>
      <c r="J54"/>
      <c r="K54"/>
      <c r="L54"/>
      <c r="M54"/>
      <c r="N54"/>
      <c r="O54"/>
      <c r="P54" s="48"/>
      <c r="Q54"/>
      <c r="R54"/>
      <c r="S54"/>
      <c r="T54"/>
      <c r="U54"/>
      <c r="V54"/>
      <c r="W54"/>
    </row>
    <row r="55" spans="2:23" x14ac:dyDescent="0.25">
      <c r="B55" s="39"/>
      <c r="C55"/>
      <c r="D55" s="34"/>
      <c r="E55" s="34"/>
      <c r="F55" s="34"/>
      <c r="G55" s="34"/>
      <c r="H55"/>
      <c r="J55"/>
      <c r="K55"/>
      <c r="L55"/>
      <c r="M55"/>
      <c r="N55"/>
      <c r="O55"/>
      <c r="P55" s="48"/>
      <c r="Q55"/>
      <c r="R55"/>
      <c r="S55"/>
      <c r="T55"/>
      <c r="U55"/>
      <c r="V55"/>
      <c r="W55"/>
    </row>
    <row r="56" spans="2:23" x14ac:dyDescent="0.25">
      <c r="B56" s="39"/>
      <c r="C56"/>
      <c r="D56" s="34"/>
      <c r="E56" s="34"/>
      <c r="F56" s="34"/>
      <c r="G56" s="34"/>
      <c r="H56"/>
      <c r="J56"/>
      <c r="K56"/>
      <c r="L56"/>
      <c r="M56"/>
      <c r="N56"/>
      <c r="O56"/>
      <c r="P56" s="48"/>
      <c r="Q56"/>
      <c r="R56"/>
      <c r="S56"/>
      <c r="T56"/>
      <c r="U56"/>
      <c r="V56"/>
      <c r="W56"/>
    </row>
    <row r="57" spans="2:23" x14ac:dyDescent="0.25">
      <c r="B57" s="39"/>
      <c r="C57"/>
      <c r="D57" s="34"/>
      <c r="E57" s="34"/>
      <c r="F57" s="34"/>
      <c r="G57" s="34"/>
      <c r="H57"/>
      <c r="J57"/>
      <c r="K57"/>
      <c r="L57"/>
      <c r="M57"/>
      <c r="N57"/>
      <c r="O57"/>
      <c r="P57" s="48"/>
      <c r="Q57"/>
      <c r="R57"/>
      <c r="S57"/>
      <c r="T57"/>
      <c r="U57"/>
      <c r="V57"/>
      <c r="W57"/>
    </row>
    <row r="58" spans="2:23" x14ac:dyDescent="0.25">
      <c r="B58" s="39"/>
      <c r="C58"/>
      <c r="D58" s="34"/>
      <c r="E58" s="34"/>
      <c r="F58" s="34"/>
      <c r="G58" s="34"/>
      <c r="H58"/>
      <c r="J58"/>
      <c r="K58"/>
      <c r="L58"/>
      <c r="M58"/>
      <c r="N58"/>
      <c r="O58"/>
      <c r="P58" s="48"/>
      <c r="Q58"/>
      <c r="R58"/>
      <c r="S58"/>
      <c r="T58"/>
      <c r="U58"/>
      <c r="V58"/>
      <c r="W58"/>
    </row>
    <row r="59" spans="2:23" x14ac:dyDescent="0.25">
      <c r="B59" s="39"/>
      <c r="C59"/>
      <c r="D59" s="34"/>
      <c r="E59" s="34"/>
      <c r="F59" s="34"/>
      <c r="G59" s="34"/>
      <c r="H59"/>
      <c r="J59"/>
      <c r="K59"/>
      <c r="L59"/>
      <c r="M59"/>
      <c r="N59"/>
      <c r="O59"/>
      <c r="P59" s="48"/>
      <c r="Q59"/>
      <c r="R59"/>
      <c r="S59"/>
      <c r="T59"/>
      <c r="U59"/>
      <c r="V59"/>
      <c r="W59"/>
    </row>
    <row r="60" spans="2:23" x14ac:dyDescent="0.25">
      <c r="B60" s="39"/>
      <c r="C60"/>
      <c r="D60" s="34"/>
      <c r="E60" s="34"/>
      <c r="F60" s="34"/>
      <c r="G60" s="34"/>
      <c r="H60"/>
      <c r="J60"/>
      <c r="K60"/>
      <c r="L60"/>
      <c r="M60"/>
      <c r="N60"/>
      <c r="O60"/>
      <c r="P60" s="48"/>
      <c r="Q60"/>
      <c r="R60"/>
      <c r="S60"/>
      <c r="T60"/>
      <c r="U60"/>
      <c r="V60"/>
      <c r="W60"/>
    </row>
    <row r="61" spans="2:23" ht="12.75" customHeight="1" thickBot="1" x14ac:dyDescent="0.3">
      <c r="B61" s="41"/>
      <c r="C61" s="15"/>
      <c r="D61" s="33"/>
      <c r="E61" s="33"/>
      <c r="F61" s="33"/>
      <c r="G61" s="33"/>
      <c r="H61" s="15"/>
      <c r="I61" s="15"/>
      <c r="J61" s="15"/>
      <c r="K61" s="15"/>
      <c r="L61" s="15"/>
      <c r="M61" s="15"/>
      <c r="N61" s="15"/>
      <c r="O61" s="15"/>
      <c r="P61" s="16"/>
    </row>
    <row r="62" spans="2:23" ht="17.25" thickBot="1" x14ac:dyDescent="0.35">
      <c r="B62" s="38"/>
      <c r="C62" s="246" t="s">
        <v>291</v>
      </c>
      <c r="D62" s="247" t="s">
        <v>292</v>
      </c>
      <c r="E62" s="151" t="s">
        <v>293</v>
      </c>
      <c r="F62" s="152" t="s">
        <v>294</v>
      </c>
      <c r="G62" s="153" t="s">
        <v>295</v>
      </c>
      <c r="H62" s="153" t="s">
        <v>296</v>
      </c>
      <c r="I62" s="154" t="s">
        <v>297</v>
      </c>
      <c r="J62" s="154" t="s">
        <v>298</v>
      </c>
      <c r="K62" s="151" t="s">
        <v>299</v>
      </c>
      <c r="L62" s="151" t="s">
        <v>300</v>
      </c>
      <c r="M62" s="151" t="s">
        <v>301</v>
      </c>
      <c r="N62" s="151" t="s">
        <v>274</v>
      </c>
      <c r="O62" s="155" t="s">
        <v>302</v>
      </c>
      <c r="P62" s="57"/>
      <c r="Q62"/>
      <c r="R62"/>
      <c r="S62"/>
      <c r="T62"/>
      <c r="U62"/>
      <c r="V62"/>
      <c r="W62"/>
    </row>
    <row r="63" spans="2:23" s="22" customFormat="1" ht="48" customHeight="1" thickBot="1" x14ac:dyDescent="0.25">
      <c r="B63" s="52"/>
      <c r="C63" s="150" t="s">
        <v>69</v>
      </c>
      <c r="D63" s="267">
        <v>0</v>
      </c>
      <c r="E63" s="268">
        <v>0</v>
      </c>
      <c r="F63" s="267">
        <v>0</v>
      </c>
      <c r="G63" s="268">
        <v>0</v>
      </c>
      <c r="H63" s="268">
        <v>0</v>
      </c>
      <c r="I63" s="268">
        <v>0</v>
      </c>
      <c r="J63" s="269">
        <v>0</v>
      </c>
      <c r="K63" s="268">
        <v>0</v>
      </c>
      <c r="L63" s="268">
        <v>0</v>
      </c>
      <c r="M63" s="268">
        <v>0</v>
      </c>
      <c r="N63" s="268">
        <v>0</v>
      </c>
      <c r="O63" s="269"/>
      <c r="P63" s="53"/>
      <c r="Q63" s="21"/>
      <c r="R63" s="21"/>
      <c r="S63" s="21"/>
      <c r="T63" s="21"/>
      <c r="U63" s="21"/>
      <c r="V63" s="21"/>
      <c r="W63" s="21"/>
    </row>
    <row r="64" spans="2:23" ht="14.25" hidden="1" thickBot="1" x14ac:dyDescent="0.3">
      <c r="B64" s="39"/>
      <c r="C64" s="20" t="s">
        <v>278</v>
      </c>
      <c r="D64" s="264">
        <v>0</v>
      </c>
      <c r="E64" s="33">
        <v>0</v>
      </c>
      <c r="F64" s="264">
        <v>0</v>
      </c>
      <c r="G64" s="33">
        <v>0</v>
      </c>
      <c r="H64" s="33">
        <v>0</v>
      </c>
      <c r="I64" s="33">
        <v>0</v>
      </c>
      <c r="J64" s="265">
        <v>0</v>
      </c>
      <c r="K64" s="33">
        <v>0</v>
      </c>
      <c r="L64" s="33">
        <v>0</v>
      </c>
      <c r="M64" s="33">
        <v>0</v>
      </c>
      <c r="N64" s="33">
        <v>0</v>
      </c>
      <c r="O64" s="265"/>
      <c r="P64" s="48"/>
      <c r="Q64"/>
      <c r="R64"/>
      <c r="S64"/>
      <c r="T64"/>
      <c r="U64"/>
      <c r="V64"/>
      <c r="W64"/>
    </row>
    <row r="65" spans="2:55" x14ac:dyDescent="0.25">
      <c r="B65" s="39"/>
      <c r="C65"/>
      <c r="D65"/>
      <c r="E65"/>
      <c r="F65"/>
      <c r="G65"/>
      <c r="H65"/>
      <c r="J65"/>
      <c r="K65"/>
      <c r="L65"/>
      <c r="M65"/>
      <c r="N65"/>
      <c r="O65"/>
      <c r="P65" s="48"/>
      <c r="Q65"/>
      <c r="R65"/>
      <c r="S65"/>
      <c r="T65"/>
      <c r="U65"/>
      <c r="V65"/>
      <c r="W65"/>
    </row>
    <row r="66" spans="2:55" x14ac:dyDescent="0.25">
      <c r="B66" s="39"/>
      <c r="C66"/>
      <c r="D66"/>
      <c r="E66"/>
      <c r="F66"/>
      <c r="G66"/>
      <c r="H66"/>
      <c r="J66"/>
      <c r="K66"/>
      <c r="L66"/>
      <c r="M66"/>
      <c r="N66"/>
      <c r="O66"/>
      <c r="P66" s="48"/>
      <c r="Q66"/>
      <c r="R66"/>
      <c r="S66"/>
      <c r="T66"/>
      <c r="U66"/>
      <c r="V66"/>
      <c r="W66"/>
    </row>
    <row r="67" spans="2:55" x14ac:dyDescent="0.25">
      <c r="B67" s="39"/>
      <c r="C67"/>
      <c r="D67" s="34"/>
      <c r="E67" s="34"/>
      <c r="F67" s="34"/>
      <c r="G67" s="34"/>
      <c r="H67"/>
      <c r="J67"/>
      <c r="K67"/>
      <c r="L67"/>
      <c r="M67"/>
      <c r="N67"/>
      <c r="O67"/>
      <c r="P67" s="48"/>
      <c r="Q67"/>
      <c r="R67"/>
      <c r="S67"/>
      <c r="T67"/>
      <c r="U67"/>
      <c r="V67"/>
      <c r="W67"/>
    </row>
    <row r="68" spans="2:55" x14ac:dyDescent="0.25">
      <c r="B68" s="39"/>
      <c r="C68"/>
      <c r="D68" s="34"/>
      <c r="E68" s="34"/>
      <c r="F68" s="34"/>
      <c r="G68" s="34"/>
      <c r="H68"/>
      <c r="J68"/>
      <c r="K68"/>
      <c r="L68"/>
      <c r="M68"/>
      <c r="N68"/>
      <c r="O68"/>
      <c r="P68" s="48"/>
      <c r="Q68"/>
      <c r="R68"/>
      <c r="S68"/>
      <c r="T68"/>
      <c r="U68"/>
      <c r="V68"/>
      <c r="W68"/>
    </row>
    <row r="69" spans="2:55" x14ac:dyDescent="0.25">
      <c r="B69" s="39"/>
      <c r="C69"/>
      <c r="D69" s="34"/>
      <c r="E69" s="34"/>
      <c r="F69" s="34"/>
      <c r="G69" s="34"/>
      <c r="H69"/>
      <c r="J69"/>
      <c r="K69"/>
      <c r="L69"/>
      <c r="M69"/>
      <c r="N69"/>
      <c r="O69"/>
      <c r="P69" s="48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x14ac:dyDescent="0.25">
      <c r="B70" s="39"/>
      <c r="C70"/>
      <c r="D70" s="34"/>
      <c r="E70" s="34"/>
      <c r="F70" s="34"/>
      <c r="G70" s="34"/>
      <c r="H70"/>
      <c r="J70"/>
      <c r="K70"/>
      <c r="L70"/>
      <c r="M70"/>
      <c r="N70"/>
      <c r="O70"/>
      <c r="P70" s="48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x14ac:dyDescent="0.25">
      <c r="B71" s="39"/>
      <c r="C71"/>
      <c r="D71" s="34"/>
      <c r="E71" s="34"/>
      <c r="F71" s="34"/>
      <c r="G71" s="34"/>
      <c r="H71"/>
      <c r="J71"/>
      <c r="K71"/>
      <c r="L71"/>
      <c r="M71"/>
      <c r="N71"/>
      <c r="O71"/>
      <c r="P71" s="48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x14ac:dyDescent="0.25">
      <c r="B72" s="39"/>
      <c r="C72"/>
      <c r="D72" s="34"/>
      <c r="E72" s="34"/>
      <c r="F72" s="34"/>
      <c r="G72" s="34"/>
      <c r="H72"/>
      <c r="J72"/>
      <c r="K72"/>
      <c r="L72"/>
      <c r="M72"/>
      <c r="N72"/>
      <c r="O72"/>
      <c r="P72" s="48"/>
      <c r="Q72"/>
      <c r="R72"/>
      <c r="S72"/>
      <c r="T72"/>
      <c r="U72"/>
      <c r="V72"/>
      <c r="W72"/>
      <c r="X72"/>
      <c r="Y72"/>
      <c r="Z72"/>
    </row>
    <row r="73" spans="2:55" x14ac:dyDescent="0.25">
      <c r="B73" s="39"/>
      <c r="C73"/>
      <c r="D73" s="34"/>
      <c r="E73" s="34"/>
      <c r="F73" s="34"/>
      <c r="G73" s="34"/>
      <c r="H73"/>
      <c r="J73"/>
      <c r="K73"/>
      <c r="L73"/>
      <c r="M73"/>
      <c r="N73"/>
      <c r="O73"/>
      <c r="P73" s="48"/>
      <c r="Q73"/>
      <c r="R73"/>
      <c r="S73"/>
      <c r="T73"/>
      <c r="U73"/>
      <c r="V73"/>
      <c r="W73"/>
      <c r="X73"/>
      <c r="Y73"/>
      <c r="Z73"/>
    </row>
    <row r="74" spans="2:55" x14ac:dyDescent="0.25">
      <c r="B74" s="39"/>
      <c r="C74"/>
      <c r="D74" s="34"/>
      <c r="E74" s="34"/>
      <c r="F74" s="34"/>
      <c r="G74" s="34"/>
      <c r="H74"/>
      <c r="J74"/>
      <c r="K74"/>
      <c r="L74"/>
      <c r="M74"/>
      <c r="N74"/>
      <c r="O74"/>
      <c r="P74" s="48"/>
      <c r="Q74"/>
      <c r="R74"/>
      <c r="S74"/>
      <c r="T74"/>
      <c r="U74"/>
      <c r="V74"/>
      <c r="W74"/>
      <c r="X74"/>
      <c r="Y74"/>
      <c r="Z74"/>
    </row>
    <row r="75" spans="2:55" x14ac:dyDescent="0.25">
      <c r="B75" s="39"/>
      <c r="C75"/>
      <c r="D75" s="34"/>
      <c r="E75" s="34"/>
      <c r="F75" s="34"/>
      <c r="G75" s="34"/>
      <c r="H75"/>
      <c r="J75"/>
      <c r="K75"/>
      <c r="L75"/>
      <c r="M75"/>
      <c r="N75"/>
      <c r="O75"/>
      <c r="P75" s="48"/>
      <c r="Q75"/>
      <c r="R75"/>
      <c r="S75"/>
      <c r="T75"/>
      <c r="U75"/>
      <c r="V75"/>
      <c r="W75"/>
      <c r="X75"/>
      <c r="Y75"/>
      <c r="Z75"/>
    </row>
    <row r="76" spans="2:55" x14ac:dyDescent="0.25">
      <c r="B76" s="39"/>
      <c r="C76"/>
      <c r="D76" s="34"/>
      <c r="E76" s="34"/>
      <c r="F76" s="34"/>
      <c r="G76" s="34"/>
      <c r="H76"/>
      <c r="J76"/>
      <c r="K76"/>
      <c r="L76"/>
      <c r="M76"/>
      <c r="N76"/>
      <c r="O76"/>
      <c r="P76" s="48"/>
      <c r="Q76"/>
      <c r="R76"/>
      <c r="S76"/>
      <c r="T76"/>
      <c r="U76"/>
      <c r="V76"/>
      <c r="W76"/>
      <c r="X76"/>
      <c r="Y76"/>
      <c r="Z76"/>
    </row>
    <row r="77" spans="2:55" x14ac:dyDescent="0.25">
      <c r="B77" s="39"/>
      <c r="C77"/>
      <c r="D77" s="34"/>
      <c r="E77" s="34"/>
      <c r="F77" s="34"/>
      <c r="G77" s="34"/>
      <c r="H77"/>
      <c r="J77"/>
      <c r="K77"/>
      <c r="L77"/>
      <c r="M77"/>
      <c r="N77"/>
      <c r="O77"/>
      <c r="P77" s="48"/>
      <c r="Q77"/>
      <c r="R77"/>
      <c r="S77"/>
      <c r="T77"/>
      <c r="U77"/>
      <c r="V77"/>
      <c r="W77"/>
      <c r="X77"/>
      <c r="Y77"/>
      <c r="Z77"/>
    </row>
    <row r="78" spans="2:55" x14ac:dyDescent="0.25">
      <c r="B78" s="39"/>
      <c r="C78"/>
      <c r="D78" s="34"/>
      <c r="E78" s="34"/>
      <c r="F78" s="34"/>
      <c r="G78" s="34"/>
      <c r="H78"/>
      <c r="J78"/>
      <c r="K78"/>
      <c r="L78"/>
      <c r="M78"/>
      <c r="N78"/>
      <c r="O78"/>
      <c r="P78" s="48"/>
      <c r="Q78"/>
      <c r="R78"/>
      <c r="S78"/>
      <c r="T78"/>
      <c r="U78"/>
      <c r="V78"/>
      <c r="W78"/>
      <c r="X78"/>
      <c r="Y78"/>
      <c r="Z78"/>
    </row>
    <row r="79" spans="2:55" x14ac:dyDescent="0.25">
      <c r="B79" s="39"/>
      <c r="C79"/>
      <c r="D79" s="34"/>
      <c r="E79" s="34"/>
      <c r="F79" s="34"/>
      <c r="G79" s="34"/>
      <c r="H79"/>
      <c r="J79"/>
      <c r="K79"/>
      <c r="L79"/>
      <c r="M79"/>
      <c r="N79"/>
      <c r="O79"/>
      <c r="P79" s="48"/>
      <c r="Q79"/>
      <c r="R79"/>
      <c r="S79"/>
      <c r="T79"/>
      <c r="U79"/>
      <c r="V79"/>
      <c r="W79"/>
      <c r="X79"/>
      <c r="Y79"/>
      <c r="Z79"/>
    </row>
    <row r="80" spans="2:55" ht="14.25" thickBot="1" x14ac:dyDescent="0.3">
      <c r="B80" s="39"/>
      <c r="C80"/>
      <c r="D80" s="34"/>
      <c r="E80" s="34"/>
      <c r="F80" s="34"/>
      <c r="G80" s="34"/>
      <c r="H80"/>
      <c r="J80"/>
      <c r="K80"/>
      <c r="L80"/>
      <c r="M80"/>
      <c r="N80"/>
      <c r="O80"/>
      <c r="P80" s="48"/>
      <c r="Q80"/>
      <c r="R80"/>
      <c r="S80"/>
      <c r="T80"/>
      <c r="U80"/>
      <c r="V80"/>
      <c r="W80"/>
    </row>
    <row r="81" spans="2:23" ht="17.25" thickBot="1" x14ac:dyDescent="0.35">
      <c r="B81" s="39"/>
      <c r="C81" s="232" t="s">
        <v>303</v>
      </c>
      <c r="D81" s="233" t="s">
        <v>304</v>
      </c>
      <c r="E81" s="157" t="s">
        <v>305</v>
      </c>
      <c r="F81" s="157" t="s">
        <v>306</v>
      </c>
      <c r="G81" s="157" t="s">
        <v>307</v>
      </c>
      <c r="H81" s="158" t="s">
        <v>308</v>
      </c>
      <c r="I81" s="159" t="s">
        <v>309</v>
      </c>
      <c r="J81" s="160" t="s">
        <v>310</v>
      </c>
      <c r="K81" s="156" t="s">
        <v>311</v>
      </c>
      <c r="L81" s="156" t="s">
        <v>312</v>
      </c>
      <c r="M81" s="156" t="s">
        <v>313</v>
      </c>
      <c r="N81" s="156" t="s">
        <v>275</v>
      </c>
      <c r="O81" s="161" t="s">
        <v>314</v>
      </c>
      <c r="P81" s="48"/>
      <c r="Q81"/>
      <c r="R81"/>
      <c r="S81"/>
      <c r="T81"/>
      <c r="U81"/>
      <c r="V81"/>
      <c r="W81"/>
    </row>
    <row r="82" spans="2:23" s="22" customFormat="1" ht="45" customHeight="1" thickBot="1" x14ac:dyDescent="0.25">
      <c r="B82" s="52"/>
      <c r="C82" s="150" t="s">
        <v>69</v>
      </c>
      <c r="D82" s="274">
        <v>0</v>
      </c>
      <c r="E82" s="275">
        <v>0</v>
      </c>
      <c r="F82" s="275">
        <v>0</v>
      </c>
      <c r="G82" s="275">
        <v>0</v>
      </c>
      <c r="H82" s="275">
        <v>0</v>
      </c>
      <c r="I82" s="275">
        <v>0</v>
      </c>
      <c r="J82" s="275">
        <v>0</v>
      </c>
      <c r="K82" s="275">
        <v>1.1399999999999999</v>
      </c>
      <c r="L82" s="275">
        <v>0.95</v>
      </c>
      <c r="M82" s="275">
        <v>0.8</v>
      </c>
      <c r="N82" s="275">
        <v>0.77</v>
      </c>
      <c r="O82" s="276"/>
      <c r="P82" s="53"/>
      <c r="Q82" s="21"/>
      <c r="R82" s="21"/>
      <c r="S82" s="21"/>
      <c r="T82" s="21"/>
      <c r="U82" s="21"/>
      <c r="V82" s="21"/>
      <c r="W82" s="21"/>
    </row>
    <row r="83" spans="2:23" ht="14.25" hidden="1" thickBot="1" x14ac:dyDescent="0.3">
      <c r="B83" s="39"/>
      <c r="C83" s="20" t="s">
        <v>278</v>
      </c>
      <c r="D83" s="264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1.1399999999999999</v>
      </c>
      <c r="L83" s="33">
        <v>0.95</v>
      </c>
      <c r="M83" s="33">
        <v>0.8</v>
      </c>
      <c r="N83" s="33">
        <v>0.77</v>
      </c>
      <c r="O83" s="265"/>
      <c r="P83" s="48"/>
      <c r="Q83"/>
      <c r="R83"/>
      <c r="S83"/>
      <c r="T83"/>
      <c r="U83"/>
      <c r="V83"/>
      <c r="W83"/>
    </row>
    <row r="84" spans="2:23" x14ac:dyDescent="0.25">
      <c r="B84" s="39"/>
      <c r="C84"/>
      <c r="D84"/>
      <c r="E84"/>
      <c r="F84"/>
      <c r="G84"/>
      <c r="H84"/>
      <c r="J84"/>
      <c r="K84"/>
      <c r="L84"/>
      <c r="M84"/>
      <c r="N84"/>
      <c r="O84"/>
      <c r="P84" s="48"/>
      <c r="Q84"/>
      <c r="R84"/>
      <c r="S84"/>
      <c r="T84"/>
      <c r="U84"/>
      <c r="V84"/>
      <c r="W84"/>
    </row>
    <row r="85" spans="2:23" x14ac:dyDescent="0.25">
      <c r="B85" s="39"/>
      <c r="C85"/>
      <c r="D85"/>
      <c r="E85"/>
      <c r="F85"/>
      <c r="G85"/>
      <c r="H85"/>
      <c r="J85"/>
      <c r="K85"/>
      <c r="L85"/>
      <c r="M85"/>
      <c r="N85"/>
      <c r="O85"/>
      <c r="P85" s="48"/>
      <c r="Q85"/>
      <c r="R85"/>
      <c r="S85"/>
      <c r="T85"/>
      <c r="U85"/>
      <c r="V85"/>
      <c r="W85"/>
    </row>
    <row r="86" spans="2:23" x14ac:dyDescent="0.25">
      <c r="B86" s="39"/>
      <c r="C86"/>
      <c r="D86"/>
      <c r="E86"/>
      <c r="F86"/>
      <c r="G86"/>
      <c r="H86"/>
      <c r="J86"/>
      <c r="K86"/>
      <c r="L86"/>
      <c r="M86"/>
      <c r="N86"/>
      <c r="O86"/>
      <c r="P86" s="48"/>
      <c r="Q86"/>
      <c r="R86"/>
      <c r="S86"/>
      <c r="T86"/>
      <c r="U86"/>
      <c r="V86"/>
      <c r="W86"/>
    </row>
    <row r="87" spans="2:23" x14ac:dyDescent="0.25">
      <c r="B87" s="39"/>
      <c r="C87"/>
      <c r="D87"/>
      <c r="E87"/>
      <c r="F87"/>
      <c r="G87"/>
      <c r="H87"/>
      <c r="J87"/>
      <c r="K87"/>
      <c r="L87"/>
      <c r="M87"/>
      <c r="N87"/>
      <c r="O87"/>
      <c r="P87" s="48"/>
      <c r="Q87"/>
      <c r="R87"/>
      <c r="S87"/>
      <c r="T87"/>
      <c r="U87"/>
      <c r="V87"/>
      <c r="W87"/>
    </row>
    <row r="88" spans="2:23" x14ac:dyDescent="0.25">
      <c r="B88" s="39"/>
      <c r="C88"/>
      <c r="D88"/>
      <c r="E88"/>
      <c r="F88"/>
      <c r="G88"/>
      <c r="H88"/>
      <c r="J88"/>
      <c r="K88"/>
      <c r="L88"/>
      <c r="M88"/>
      <c r="N88"/>
      <c r="O88"/>
      <c r="P88" s="48"/>
      <c r="Q88"/>
      <c r="R88"/>
      <c r="S88"/>
      <c r="T88"/>
      <c r="U88"/>
      <c r="V88"/>
      <c r="W88"/>
    </row>
    <row r="89" spans="2:23" x14ac:dyDescent="0.25">
      <c r="B89" s="39"/>
      <c r="C89"/>
      <c r="D89" s="34"/>
      <c r="E89" s="34"/>
      <c r="F89" s="34"/>
      <c r="G89" s="34"/>
      <c r="H89"/>
      <c r="J89"/>
      <c r="K89"/>
      <c r="L89"/>
      <c r="M89"/>
      <c r="N89"/>
      <c r="O89"/>
      <c r="P89" s="48"/>
      <c r="Q89"/>
      <c r="R89"/>
      <c r="S89"/>
      <c r="T89"/>
      <c r="U89"/>
      <c r="V89"/>
      <c r="W89"/>
    </row>
    <row r="90" spans="2:23" x14ac:dyDescent="0.25">
      <c r="B90" s="39"/>
      <c r="C90"/>
      <c r="D90" s="34"/>
      <c r="E90" s="34"/>
      <c r="F90" s="34"/>
      <c r="G90" s="34"/>
      <c r="H90"/>
      <c r="J90"/>
      <c r="K90"/>
      <c r="L90"/>
      <c r="M90"/>
      <c r="N90"/>
      <c r="O90"/>
      <c r="P90" s="48"/>
      <c r="Q90"/>
      <c r="R90"/>
      <c r="S90"/>
      <c r="T90"/>
      <c r="U90"/>
      <c r="V90"/>
      <c r="W90"/>
    </row>
    <row r="91" spans="2:23" x14ac:dyDescent="0.25">
      <c r="B91" s="39"/>
      <c r="C91"/>
      <c r="D91" s="34"/>
      <c r="E91" s="34"/>
      <c r="F91" s="34"/>
      <c r="G91" s="34"/>
      <c r="H91"/>
      <c r="J91"/>
      <c r="K91"/>
      <c r="L91"/>
      <c r="M91"/>
      <c r="N91"/>
      <c r="O91"/>
      <c r="P91" s="48"/>
      <c r="Q91"/>
      <c r="R91"/>
      <c r="S91"/>
      <c r="T91"/>
      <c r="U91"/>
      <c r="V91"/>
      <c r="W91"/>
    </row>
    <row r="92" spans="2:23" x14ac:dyDescent="0.25">
      <c r="B92" s="39"/>
      <c r="C92"/>
      <c r="D92" s="34"/>
      <c r="E92" s="34"/>
      <c r="F92" s="34"/>
      <c r="G92" s="34"/>
      <c r="H92"/>
      <c r="J92"/>
      <c r="K92"/>
      <c r="L92"/>
      <c r="M92"/>
      <c r="N92"/>
      <c r="O92"/>
      <c r="P92" s="48"/>
      <c r="Q92"/>
      <c r="R92"/>
      <c r="S92"/>
      <c r="T92"/>
      <c r="U92"/>
      <c r="V92"/>
      <c r="W92"/>
    </row>
    <row r="93" spans="2:23" x14ac:dyDescent="0.25">
      <c r="B93" s="39"/>
      <c r="C93"/>
      <c r="D93" s="34"/>
      <c r="E93" s="34"/>
      <c r="F93" s="34"/>
      <c r="G93" s="34"/>
      <c r="H93"/>
      <c r="J93"/>
      <c r="K93"/>
      <c r="L93"/>
      <c r="M93"/>
      <c r="N93"/>
      <c r="O93"/>
      <c r="P93" s="48"/>
      <c r="Q93"/>
      <c r="R93"/>
      <c r="S93"/>
      <c r="T93"/>
      <c r="U93"/>
      <c r="V93"/>
      <c r="W93"/>
    </row>
    <row r="94" spans="2:23" x14ac:dyDescent="0.25">
      <c r="B94" s="39"/>
      <c r="C94"/>
      <c r="D94" s="34"/>
      <c r="E94" s="34"/>
      <c r="F94" s="34"/>
      <c r="G94" s="34"/>
      <c r="H94"/>
      <c r="J94"/>
      <c r="K94"/>
      <c r="L94"/>
      <c r="M94"/>
      <c r="N94"/>
      <c r="O94"/>
      <c r="P94" s="48"/>
      <c r="Q94"/>
      <c r="R94"/>
      <c r="S94"/>
      <c r="T94"/>
      <c r="U94"/>
      <c r="V94"/>
      <c r="W94"/>
    </row>
    <row r="95" spans="2:23" x14ac:dyDescent="0.25">
      <c r="B95" s="39"/>
      <c r="C95"/>
      <c r="D95" s="34"/>
      <c r="E95" s="34"/>
      <c r="F95" s="34"/>
      <c r="G95" s="34"/>
      <c r="H95"/>
      <c r="J95"/>
      <c r="K95"/>
      <c r="L95"/>
      <c r="M95"/>
      <c r="N95"/>
      <c r="O95"/>
      <c r="P95" s="48"/>
      <c r="Q95"/>
      <c r="R95"/>
      <c r="S95"/>
      <c r="T95"/>
      <c r="U95"/>
      <c r="V95"/>
      <c r="W95"/>
    </row>
    <row r="96" spans="2:23" x14ac:dyDescent="0.25">
      <c r="B96" s="39"/>
      <c r="C96"/>
      <c r="D96" s="34"/>
      <c r="E96" s="34"/>
      <c r="F96" s="34"/>
      <c r="G96" s="34"/>
      <c r="H96"/>
      <c r="J96"/>
      <c r="K96"/>
      <c r="L96"/>
      <c r="M96"/>
      <c r="N96"/>
      <c r="O96"/>
      <c r="P96" s="48"/>
      <c r="Q96"/>
      <c r="R96"/>
      <c r="S96"/>
      <c r="T96"/>
      <c r="U96"/>
      <c r="V96"/>
      <c r="W96"/>
    </row>
    <row r="97" spans="2:55" x14ac:dyDescent="0.25">
      <c r="B97" s="39"/>
      <c r="C97"/>
      <c r="D97" s="34"/>
      <c r="E97" s="34"/>
      <c r="F97" s="34"/>
      <c r="G97" s="34"/>
      <c r="H97"/>
      <c r="J97"/>
      <c r="K97"/>
      <c r="L97"/>
      <c r="M97"/>
      <c r="N97"/>
      <c r="O97"/>
      <c r="P97" s="48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x14ac:dyDescent="0.25">
      <c r="B98" s="39"/>
      <c r="C98"/>
      <c r="D98" s="34"/>
      <c r="E98" s="34"/>
      <c r="F98" s="34"/>
      <c r="G98" s="34"/>
      <c r="H98"/>
      <c r="J98"/>
      <c r="K98"/>
      <c r="L98"/>
      <c r="M98"/>
      <c r="N98"/>
      <c r="O98"/>
      <c r="P98" s="4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x14ac:dyDescent="0.25">
      <c r="B99" s="39"/>
      <c r="C99"/>
      <c r="D99" s="34"/>
      <c r="E99" s="34"/>
      <c r="F99" s="34"/>
      <c r="G99" s="34"/>
      <c r="H99"/>
      <c r="J99"/>
      <c r="K99"/>
      <c r="L99"/>
      <c r="M99"/>
      <c r="N99"/>
      <c r="O99"/>
      <c r="P99" s="48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x14ac:dyDescent="0.25">
      <c r="B100" s="39"/>
      <c r="C100"/>
      <c r="D100" s="34"/>
      <c r="E100" s="34"/>
      <c r="F100" s="34"/>
      <c r="G100" s="34"/>
      <c r="H100"/>
      <c r="J100"/>
      <c r="K100"/>
      <c r="L100"/>
      <c r="M100"/>
      <c r="N100"/>
      <c r="O100"/>
      <c r="P100" s="48"/>
      <c r="Q100"/>
      <c r="R100"/>
      <c r="S100"/>
      <c r="T100"/>
      <c r="U100"/>
      <c r="V100"/>
      <c r="W100"/>
      <c r="X100"/>
      <c r="Y100"/>
      <c r="Z100"/>
    </row>
    <row r="101" spans="2:55" ht="14.25" thickBot="1" x14ac:dyDescent="0.3">
      <c r="B101" s="39"/>
      <c r="C101"/>
      <c r="D101" s="34"/>
      <c r="E101" s="34"/>
      <c r="F101" s="34"/>
      <c r="G101" s="34"/>
      <c r="H101"/>
      <c r="J101"/>
      <c r="K101"/>
      <c r="L101"/>
      <c r="M101"/>
      <c r="N101"/>
      <c r="O101"/>
      <c r="P101" s="48"/>
      <c r="Q101"/>
      <c r="R101"/>
      <c r="S101"/>
      <c r="T101"/>
      <c r="U101"/>
      <c r="V101"/>
      <c r="W101"/>
    </row>
    <row r="102" spans="2:55" ht="17.25" hidden="1" thickBot="1" x14ac:dyDescent="0.35">
      <c r="B102" s="39"/>
      <c r="C102" s="248" t="s">
        <v>315</v>
      </c>
      <c r="D102" s="249" t="s">
        <v>316</v>
      </c>
      <c r="E102" s="162" t="s">
        <v>317</v>
      </c>
      <c r="F102" s="163" t="s">
        <v>318</v>
      </c>
      <c r="G102" s="164" t="s">
        <v>319</v>
      </c>
      <c r="H102" s="165" t="s">
        <v>320</v>
      </c>
      <c r="I102" s="166" t="s">
        <v>321</v>
      </c>
      <c r="J102" s="167" t="s">
        <v>322</v>
      </c>
      <c r="K102" s="162" t="s">
        <v>323</v>
      </c>
      <c r="L102" s="168" t="s">
        <v>324</v>
      </c>
      <c r="M102" s="168" t="s">
        <v>325</v>
      </c>
      <c r="N102" s="162" t="s">
        <v>326</v>
      </c>
      <c r="O102" s="169" t="s">
        <v>327</v>
      </c>
      <c r="P102" s="13"/>
    </row>
    <row r="103" spans="2:55" s="22" customFormat="1" ht="17.25" hidden="1" thickBot="1" x14ac:dyDescent="0.25">
      <c r="B103" s="52"/>
      <c r="C103" s="230" t="s">
        <v>69</v>
      </c>
      <c r="D103" s="267">
        <v>0</v>
      </c>
      <c r="E103" s="268">
        <v>0</v>
      </c>
      <c r="F103" s="268">
        <v>0</v>
      </c>
      <c r="G103" s="268">
        <v>0</v>
      </c>
      <c r="H103" s="268"/>
      <c r="I103" s="268"/>
      <c r="J103" s="268"/>
      <c r="K103" s="268"/>
      <c r="L103" s="268"/>
      <c r="M103" s="268"/>
      <c r="N103" s="268"/>
      <c r="O103" s="269"/>
      <c r="P103" s="53"/>
      <c r="Q103" s="21"/>
      <c r="R103" s="21"/>
      <c r="S103" s="21"/>
      <c r="T103" s="21"/>
      <c r="U103" s="21"/>
      <c r="V103" s="21"/>
      <c r="W103" s="21"/>
    </row>
    <row r="104" spans="2:55" ht="14.25" hidden="1" thickBot="1" x14ac:dyDescent="0.3">
      <c r="B104" s="39"/>
      <c r="C104" s="20" t="s">
        <v>278</v>
      </c>
      <c r="D104" s="264">
        <v>0</v>
      </c>
      <c r="E104" s="33">
        <v>0</v>
      </c>
      <c r="F104" s="33">
        <v>0</v>
      </c>
      <c r="G104" s="33">
        <v>0</v>
      </c>
      <c r="H104" s="33"/>
      <c r="I104" s="33"/>
      <c r="J104" s="33"/>
      <c r="K104" s="33"/>
      <c r="L104" s="33"/>
      <c r="M104" s="33"/>
      <c r="N104" s="33"/>
      <c r="O104" s="265"/>
      <c r="P104" s="13"/>
    </row>
    <row r="105" spans="2:55" ht="28.5" hidden="1" customHeight="1" x14ac:dyDescent="0.25">
      <c r="B105" s="39"/>
      <c r="H105" s="137"/>
      <c r="J105" s="137"/>
      <c r="P105" s="13"/>
    </row>
    <row r="106" spans="2:55" hidden="1" x14ac:dyDescent="0.25">
      <c r="B106" s="39"/>
      <c r="H106" s="137"/>
      <c r="J106" s="137"/>
      <c r="P106" s="13"/>
    </row>
    <row r="107" spans="2:55" hidden="1" x14ac:dyDescent="0.25">
      <c r="B107" s="39"/>
      <c r="H107" s="137"/>
      <c r="J107" s="137"/>
      <c r="P107" s="13"/>
    </row>
    <row r="108" spans="2:55" hidden="1" x14ac:dyDescent="0.25">
      <c r="B108" s="39"/>
      <c r="H108" s="137"/>
      <c r="J108" s="137"/>
      <c r="P108" s="13"/>
    </row>
    <row r="109" spans="2:55" hidden="1" x14ac:dyDescent="0.25">
      <c r="B109" s="39"/>
      <c r="H109" s="137"/>
      <c r="J109" s="137"/>
      <c r="P109" s="13"/>
    </row>
    <row r="110" spans="2:55" hidden="1" x14ac:dyDescent="0.25">
      <c r="B110" s="39"/>
      <c r="H110" s="137"/>
      <c r="J110" s="137"/>
      <c r="P110" s="13"/>
    </row>
    <row r="111" spans="2:55" hidden="1" x14ac:dyDescent="0.25">
      <c r="B111" s="39"/>
      <c r="H111" s="137"/>
      <c r="J111" s="137"/>
      <c r="P111" s="13"/>
    </row>
    <row r="112" spans="2:55" hidden="1" x14ac:dyDescent="0.25">
      <c r="B112" s="39"/>
      <c r="H112" s="137"/>
      <c r="J112" s="137"/>
      <c r="P112" s="13"/>
    </row>
    <row r="113" spans="2:23" hidden="1" x14ac:dyDescent="0.25">
      <c r="B113" s="39"/>
      <c r="H113" s="137"/>
      <c r="J113" s="137"/>
      <c r="P113" s="13"/>
    </row>
    <row r="114" spans="2:23" hidden="1" x14ac:dyDescent="0.25">
      <c r="B114" s="39"/>
      <c r="H114" s="137"/>
      <c r="J114" s="137"/>
      <c r="P114" s="13"/>
    </row>
    <row r="115" spans="2:23" hidden="1" x14ac:dyDescent="0.25">
      <c r="B115" s="39"/>
      <c r="H115" s="137"/>
      <c r="J115" s="137"/>
      <c r="P115" s="13"/>
    </row>
    <row r="116" spans="2:23" hidden="1" x14ac:dyDescent="0.25">
      <c r="B116" s="39"/>
      <c r="H116" s="137"/>
      <c r="J116" s="137"/>
      <c r="P116" s="13"/>
    </row>
    <row r="117" spans="2:23" hidden="1" x14ac:dyDescent="0.25">
      <c r="B117" s="39"/>
      <c r="H117" s="137"/>
      <c r="J117" s="137"/>
      <c r="P117" s="13"/>
    </row>
    <row r="118" spans="2:23" ht="36" hidden="1" customHeight="1" thickBot="1" x14ac:dyDescent="0.3">
      <c r="B118" s="39"/>
      <c r="H118" s="137"/>
      <c r="J118" s="137"/>
      <c r="P118" s="13"/>
    </row>
    <row r="119" spans="2:23" ht="17.25" thickBot="1" x14ac:dyDescent="0.35">
      <c r="B119" s="39"/>
      <c r="C119" s="229" t="s">
        <v>328</v>
      </c>
      <c r="D119" s="231" t="s">
        <v>329</v>
      </c>
      <c r="E119" s="170" t="s">
        <v>330</v>
      </c>
      <c r="F119" s="171" t="s">
        <v>331</v>
      </c>
      <c r="G119" s="170" t="s">
        <v>332</v>
      </c>
      <c r="H119" s="170" t="s">
        <v>333</v>
      </c>
      <c r="I119" s="172" t="s">
        <v>334</v>
      </c>
      <c r="J119" s="173" t="s">
        <v>335</v>
      </c>
      <c r="K119" s="170" t="s">
        <v>336</v>
      </c>
      <c r="L119" s="170" t="s">
        <v>337</v>
      </c>
      <c r="M119" s="170" t="s">
        <v>338</v>
      </c>
      <c r="N119" s="170" t="s">
        <v>276</v>
      </c>
      <c r="O119" s="174" t="s">
        <v>339</v>
      </c>
      <c r="P119" s="13"/>
    </row>
    <row r="120" spans="2:23" s="22" customFormat="1" ht="17.25" thickBot="1" x14ac:dyDescent="0.25">
      <c r="B120" s="52"/>
      <c r="C120" s="230" t="s">
        <v>69</v>
      </c>
      <c r="D120" s="267">
        <v>0</v>
      </c>
      <c r="E120" s="268">
        <v>0</v>
      </c>
      <c r="F120" s="268">
        <v>0</v>
      </c>
      <c r="G120" s="268">
        <v>0</v>
      </c>
      <c r="H120" s="268">
        <v>0</v>
      </c>
      <c r="I120" s="268">
        <v>0</v>
      </c>
      <c r="J120" s="268">
        <v>0</v>
      </c>
      <c r="K120" s="268">
        <v>0</v>
      </c>
      <c r="L120" s="268">
        <v>0</v>
      </c>
      <c r="M120" s="268">
        <v>0</v>
      </c>
      <c r="N120" s="268">
        <v>0</v>
      </c>
      <c r="O120" s="269"/>
      <c r="P120" s="53"/>
      <c r="Q120" s="21"/>
      <c r="R120" s="21"/>
      <c r="S120" s="21"/>
      <c r="T120" s="21"/>
      <c r="U120" s="21"/>
      <c r="V120" s="21"/>
      <c r="W120" s="21"/>
    </row>
    <row r="121" spans="2:23" ht="14.25" hidden="1" thickBot="1" x14ac:dyDescent="0.3">
      <c r="B121" s="39"/>
      <c r="C121" s="20" t="s">
        <v>278</v>
      </c>
      <c r="D121" s="264">
        <v>0</v>
      </c>
      <c r="E121" s="33">
        <v>0</v>
      </c>
      <c r="F121" s="270">
        <v>0</v>
      </c>
      <c r="G121" s="33">
        <v>0</v>
      </c>
      <c r="H121" s="33">
        <v>0</v>
      </c>
      <c r="I121" s="270">
        <v>0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265"/>
      <c r="P121" s="13"/>
    </row>
    <row r="122" spans="2:23" x14ac:dyDescent="0.25">
      <c r="B122" s="39"/>
      <c r="H122" s="137"/>
      <c r="J122" s="137"/>
      <c r="P122" s="13"/>
    </row>
    <row r="123" spans="2:23" x14ac:dyDescent="0.25">
      <c r="B123" s="39"/>
      <c r="H123" s="137"/>
      <c r="J123" s="137"/>
      <c r="P123" s="13"/>
    </row>
    <row r="124" spans="2:23" x14ac:dyDescent="0.25">
      <c r="B124" s="39"/>
      <c r="H124" s="137"/>
      <c r="J124" s="137"/>
      <c r="P124" s="13"/>
    </row>
    <row r="125" spans="2:23" x14ac:dyDescent="0.25">
      <c r="B125" s="39"/>
      <c r="H125" s="137"/>
      <c r="J125" s="137"/>
      <c r="P125" s="13"/>
    </row>
    <row r="126" spans="2:23" x14ac:dyDescent="0.25">
      <c r="B126" s="39"/>
      <c r="H126" s="137"/>
      <c r="J126" s="137"/>
      <c r="P126" s="13"/>
    </row>
    <row r="127" spans="2:23" x14ac:dyDescent="0.25">
      <c r="B127" s="39"/>
      <c r="H127" s="137"/>
      <c r="J127" s="137"/>
      <c r="P127" s="13"/>
    </row>
    <row r="128" spans="2:23" x14ac:dyDescent="0.25">
      <c r="B128" s="39"/>
      <c r="H128" s="137"/>
      <c r="J128" s="137"/>
      <c r="P128" s="13"/>
    </row>
    <row r="129" spans="2:16" x14ac:dyDescent="0.25">
      <c r="B129" s="39"/>
      <c r="H129" s="137"/>
      <c r="J129" s="137"/>
      <c r="P129" s="13"/>
    </row>
    <row r="130" spans="2:16" x14ac:dyDescent="0.25">
      <c r="B130" s="39"/>
      <c r="H130" s="137"/>
      <c r="J130" s="137"/>
      <c r="P130" s="13"/>
    </row>
    <row r="131" spans="2:16" x14ac:dyDescent="0.25">
      <c r="B131" s="39"/>
      <c r="H131" s="137"/>
      <c r="J131" s="137"/>
      <c r="P131" s="13"/>
    </row>
    <row r="132" spans="2:16" x14ac:dyDescent="0.25">
      <c r="B132" s="39"/>
      <c r="H132" s="137"/>
      <c r="J132" s="137"/>
      <c r="P132" s="13"/>
    </row>
    <row r="133" spans="2:16" x14ac:dyDescent="0.25">
      <c r="B133" s="39"/>
      <c r="H133" s="137"/>
      <c r="J133" s="137"/>
      <c r="P133" s="13"/>
    </row>
    <row r="134" spans="2:16" x14ac:dyDescent="0.25">
      <c r="B134" s="39"/>
      <c r="H134" s="137"/>
      <c r="J134" s="137"/>
      <c r="P134" s="13"/>
    </row>
    <row r="135" spans="2:16" x14ac:dyDescent="0.25">
      <c r="B135" s="39"/>
      <c r="H135" s="137"/>
      <c r="J135" s="137"/>
      <c r="P135" s="13"/>
    </row>
    <row r="136" spans="2:16" x14ac:dyDescent="0.25">
      <c r="B136" s="39"/>
      <c r="H136" s="137"/>
      <c r="J136" s="137"/>
      <c r="P136" s="13"/>
    </row>
    <row r="137" spans="2:16" x14ac:dyDescent="0.25">
      <c r="B137" s="39"/>
      <c r="H137" s="137"/>
      <c r="J137" s="137"/>
      <c r="P137" s="13"/>
    </row>
    <row r="138" spans="2:16" ht="20.25" customHeight="1" x14ac:dyDescent="0.25">
      <c r="B138" s="39"/>
      <c r="H138" s="137"/>
      <c r="J138" s="137"/>
      <c r="P138" s="13"/>
    </row>
    <row r="139" spans="2:16" ht="36.6" customHeight="1" thickBot="1" x14ac:dyDescent="0.3">
      <c r="B139" s="41"/>
      <c r="C139" s="15"/>
      <c r="D139" s="33"/>
      <c r="E139" s="33"/>
      <c r="F139" s="33"/>
      <c r="G139" s="33"/>
      <c r="H139" s="54"/>
      <c r="I139" s="54"/>
      <c r="J139" s="54"/>
      <c r="K139" s="15"/>
      <c r="L139" s="15"/>
      <c r="M139" s="15"/>
      <c r="N139" s="15"/>
      <c r="O139" s="15"/>
      <c r="P139" s="16"/>
    </row>
    <row r="140" spans="2:16" ht="17.25" thickBot="1" x14ac:dyDescent="0.3">
      <c r="B140" s="50" t="s">
        <v>340</v>
      </c>
      <c r="C140" s="234" t="s">
        <v>341</v>
      </c>
      <c r="D140" t="s">
        <v>273</v>
      </c>
      <c r="E140" t="s">
        <v>274</v>
      </c>
      <c r="F140" t="s">
        <v>275</v>
      </c>
      <c r="G140" s="48" t="s">
        <v>276</v>
      </c>
      <c r="H140"/>
      <c r="I140"/>
      <c r="J140"/>
      <c r="K140"/>
      <c r="L140" s="17"/>
      <c r="M140" s="17"/>
      <c r="N140" s="17"/>
      <c r="O140" s="17"/>
      <c r="P140" s="12"/>
    </row>
    <row r="141" spans="2:16" ht="16.5" x14ac:dyDescent="0.3">
      <c r="B141" s="45"/>
      <c r="C141" s="206" t="s">
        <v>75</v>
      </c>
      <c r="D141" s="175">
        <v>7.79</v>
      </c>
      <c r="E141" s="176">
        <v>0</v>
      </c>
      <c r="F141" s="176">
        <v>126.21</v>
      </c>
      <c r="G141" s="177">
        <v>0</v>
      </c>
      <c r="H141"/>
      <c r="I141"/>
      <c r="J141"/>
      <c r="K141"/>
      <c r="P141" s="13"/>
    </row>
    <row r="142" spans="2:16" ht="17.25" thickBot="1" x14ac:dyDescent="0.35">
      <c r="B142" s="39"/>
      <c r="C142" s="206" t="s">
        <v>80</v>
      </c>
      <c r="D142" s="178">
        <v>16.75</v>
      </c>
      <c r="E142" s="179">
        <v>0</v>
      </c>
      <c r="F142" s="179">
        <v>164</v>
      </c>
      <c r="G142" s="180">
        <v>0</v>
      </c>
      <c r="H142"/>
      <c r="I142"/>
      <c r="J142"/>
      <c r="K142"/>
      <c r="P142" s="13"/>
    </row>
    <row r="143" spans="2:16" ht="14.25" hidden="1" thickBot="1" x14ac:dyDescent="0.3">
      <c r="B143" s="39"/>
      <c r="C143" s="226" t="s">
        <v>278</v>
      </c>
      <c r="D143" s="94">
        <v>24.54</v>
      </c>
      <c r="E143">
        <v>0</v>
      </c>
      <c r="F143">
        <v>290.20999999999998</v>
      </c>
      <c r="G143" s="48">
        <v>0</v>
      </c>
      <c r="H143"/>
      <c r="I143"/>
      <c r="J143"/>
      <c r="K143"/>
      <c r="P143" s="13"/>
    </row>
    <row r="144" spans="2:16" x14ac:dyDescent="0.25">
      <c r="B144" s="39"/>
      <c r="C144"/>
      <c r="D144"/>
      <c r="E144"/>
      <c r="F144"/>
      <c r="H144" s="137"/>
      <c r="I144" s="137"/>
      <c r="J144" s="137"/>
      <c r="P144" s="13"/>
    </row>
    <row r="145" spans="2:23" x14ac:dyDescent="0.25">
      <c r="B145" s="39"/>
      <c r="C145"/>
      <c r="D145"/>
      <c r="E145"/>
      <c r="F145"/>
      <c r="H145" s="137"/>
      <c r="I145" s="137"/>
      <c r="J145" s="137"/>
      <c r="P145" s="13"/>
    </row>
    <row r="146" spans="2:23" ht="36.6" customHeight="1" x14ac:dyDescent="0.25">
      <c r="B146" s="39"/>
      <c r="H146" s="137"/>
      <c r="I146" s="137"/>
      <c r="J146" s="137"/>
      <c r="P146" s="13"/>
    </row>
    <row r="147" spans="2:23" ht="36.6" customHeight="1" x14ac:dyDescent="0.25">
      <c r="B147" s="39"/>
      <c r="H147" s="137"/>
      <c r="I147" s="137"/>
      <c r="J147" s="137"/>
      <c r="P147" s="13"/>
    </row>
    <row r="148" spans="2:23" ht="36.6" customHeight="1" x14ac:dyDescent="0.25">
      <c r="B148" s="39"/>
      <c r="H148" s="137"/>
      <c r="I148" s="137"/>
      <c r="J148" s="137"/>
      <c r="P148" s="13"/>
    </row>
    <row r="149" spans="2:23" ht="36.6" customHeight="1" x14ac:dyDescent="0.25">
      <c r="B149" s="39"/>
      <c r="H149" s="137"/>
      <c r="I149" s="137"/>
      <c r="J149" s="137"/>
      <c r="P149" s="13"/>
    </row>
    <row r="150" spans="2:23" ht="36.6" customHeight="1" x14ac:dyDescent="0.25">
      <c r="B150" s="39"/>
      <c r="H150" s="137"/>
      <c r="I150" s="137"/>
      <c r="J150" s="137"/>
      <c r="P150" s="13"/>
    </row>
    <row r="151" spans="2:23" ht="14.25" thickBot="1" x14ac:dyDescent="0.3">
      <c r="B151" s="39"/>
      <c r="H151" s="137"/>
      <c r="I151" s="137"/>
      <c r="J151" s="137"/>
      <c r="P151" s="13"/>
    </row>
    <row r="152" spans="2:23" s="2" customFormat="1" ht="33.75" thickBot="1" x14ac:dyDescent="0.25">
      <c r="B152" s="140" t="s">
        <v>342</v>
      </c>
      <c r="C152" s="227" t="s">
        <v>343</v>
      </c>
      <c r="D152" s="277" t="s">
        <v>273</v>
      </c>
      <c r="E152" s="262" t="s">
        <v>274</v>
      </c>
      <c r="F152" s="262" t="s">
        <v>275</v>
      </c>
      <c r="G152" s="263" t="s">
        <v>276</v>
      </c>
      <c r="H152"/>
      <c r="I152"/>
      <c r="J152"/>
      <c r="K152"/>
      <c r="L152" s="42"/>
      <c r="M152" s="42"/>
      <c r="N152" s="42"/>
      <c r="O152" s="42"/>
      <c r="P152" s="46"/>
      <c r="Q152" s="42"/>
      <c r="R152" s="42"/>
      <c r="S152" s="42"/>
      <c r="T152" s="42"/>
      <c r="U152" s="42"/>
      <c r="V152" s="42"/>
      <c r="W152" s="42"/>
    </row>
    <row r="153" spans="2:23" s="44" customFormat="1" ht="33.75" thickBot="1" x14ac:dyDescent="0.25">
      <c r="B153" s="45"/>
      <c r="C153" s="228" t="s">
        <v>84</v>
      </c>
      <c r="D153" s="271">
        <v>0</v>
      </c>
      <c r="E153" s="272">
        <v>0.32</v>
      </c>
      <c r="F153" s="272">
        <v>0</v>
      </c>
      <c r="G153" s="273">
        <v>0</v>
      </c>
      <c r="H153"/>
      <c r="I153"/>
      <c r="J153"/>
      <c r="K153"/>
      <c r="L153" s="19"/>
      <c r="M153" s="19"/>
      <c r="N153" s="19"/>
      <c r="O153" s="19"/>
      <c r="P153" s="49"/>
      <c r="Q153" s="19"/>
      <c r="R153" s="19"/>
      <c r="S153" s="19"/>
      <c r="T153" s="19"/>
      <c r="U153" s="19"/>
      <c r="V153" s="19"/>
      <c r="W153" s="19"/>
    </row>
    <row r="154" spans="2:23" hidden="1" x14ac:dyDescent="0.25">
      <c r="B154" s="39"/>
      <c r="C154" s="226" t="s">
        <v>278</v>
      </c>
      <c r="D154" s="94">
        <v>0</v>
      </c>
      <c r="E154">
        <v>0.32</v>
      </c>
      <c r="F154">
        <v>0</v>
      </c>
      <c r="G154" s="48">
        <v>0</v>
      </c>
      <c r="H154"/>
      <c r="I154"/>
      <c r="J154"/>
      <c r="K154"/>
      <c r="L154"/>
      <c r="M154"/>
      <c r="N154"/>
      <c r="O154"/>
      <c r="P154" s="48"/>
      <c r="Q154"/>
      <c r="R154"/>
      <c r="S154"/>
      <c r="T154"/>
      <c r="U154"/>
      <c r="V154"/>
      <c r="W154"/>
    </row>
    <row r="155" spans="2:23" x14ac:dyDescent="0.25">
      <c r="B155" s="39"/>
      <c r="C155"/>
      <c r="D155"/>
      <c r="E155"/>
      <c r="F155"/>
      <c r="G155"/>
      <c r="H155"/>
      <c r="I155" s="137"/>
      <c r="J155" s="137"/>
      <c r="P155" s="13"/>
    </row>
    <row r="156" spans="2:23" hidden="1" x14ac:dyDescent="0.25">
      <c r="B156" s="39"/>
      <c r="C156"/>
      <c r="D156"/>
      <c r="E156"/>
      <c r="F156"/>
      <c r="G156"/>
      <c r="H156"/>
      <c r="I156" s="137"/>
      <c r="J156" s="137"/>
      <c r="P156" s="13"/>
    </row>
    <row r="157" spans="2:23" ht="21.75" customHeight="1" x14ac:dyDescent="0.25">
      <c r="B157" s="39"/>
      <c r="C157" s="94"/>
      <c r="D157"/>
      <c r="E157"/>
      <c r="H157" s="137"/>
      <c r="I157" s="137"/>
      <c r="J157" s="137"/>
      <c r="P157" s="13"/>
    </row>
    <row r="158" spans="2:23" ht="31.5" customHeight="1" x14ac:dyDescent="0.25">
      <c r="B158" s="39"/>
      <c r="C158" s="94"/>
      <c r="D158"/>
      <c r="H158" s="137"/>
      <c r="I158" s="137"/>
      <c r="J158" s="137"/>
      <c r="P158" s="13"/>
    </row>
    <row r="159" spans="2:23" ht="21.75" customHeight="1" x14ac:dyDescent="0.25">
      <c r="B159" s="39"/>
      <c r="C159" s="94"/>
      <c r="H159" s="137"/>
      <c r="I159" s="137"/>
      <c r="J159" s="137"/>
      <c r="P159" s="13"/>
    </row>
    <row r="160" spans="2:23" ht="21.75" customHeight="1" x14ac:dyDescent="0.25">
      <c r="B160" s="39"/>
      <c r="C160" s="95"/>
      <c r="H160" s="137"/>
      <c r="I160" s="137"/>
      <c r="J160" s="137"/>
      <c r="P160" s="13"/>
    </row>
    <row r="161" spans="2:23" ht="21.75" customHeight="1" x14ac:dyDescent="0.25">
      <c r="B161" s="39"/>
      <c r="C161" s="95"/>
      <c r="H161" s="137"/>
      <c r="I161" s="137"/>
      <c r="J161" s="137"/>
      <c r="P161" s="13"/>
    </row>
    <row r="162" spans="2:23" x14ac:dyDescent="0.25">
      <c r="B162" s="39"/>
      <c r="C162" s="95"/>
      <c r="H162" s="137"/>
      <c r="I162" s="137"/>
      <c r="J162" s="137"/>
      <c r="P162" s="13"/>
    </row>
    <row r="163" spans="2:23" x14ac:dyDescent="0.25">
      <c r="B163" s="39"/>
      <c r="C163" s="95"/>
      <c r="H163" s="137"/>
      <c r="I163" s="137"/>
      <c r="J163" s="137"/>
      <c r="P163" s="13"/>
    </row>
    <row r="164" spans="2:23" x14ac:dyDescent="0.25">
      <c r="B164" s="39"/>
      <c r="C164" s="95"/>
      <c r="H164" s="137"/>
      <c r="I164" s="137"/>
      <c r="J164" s="137"/>
      <c r="P164" s="13"/>
    </row>
    <row r="165" spans="2:23" x14ac:dyDescent="0.25">
      <c r="B165" s="39"/>
      <c r="C165" s="95"/>
      <c r="H165" s="137"/>
      <c r="I165" s="137"/>
      <c r="J165" s="137"/>
      <c r="P165" s="13"/>
    </row>
    <row r="166" spans="2:23" x14ac:dyDescent="0.25">
      <c r="B166" s="39"/>
      <c r="C166" s="95"/>
      <c r="H166" s="137"/>
      <c r="I166" s="137"/>
      <c r="J166" s="137"/>
      <c r="P166" s="13"/>
    </row>
    <row r="167" spans="2:23" x14ac:dyDescent="0.25">
      <c r="B167" s="39"/>
      <c r="C167" s="95"/>
      <c r="H167" s="137"/>
      <c r="I167" s="137"/>
      <c r="J167" s="137"/>
      <c r="P167" s="13"/>
    </row>
    <row r="168" spans="2:23" x14ac:dyDescent="0.25">
      <c r="B168" s="39"/>
      <c r="C168" s="95"/>
      <c r="H168" s="137"/>
      <c r="I168" s="137"/>
      <c r="J168" s="137"/>
      <c r="P168" s="13"/>
    </row>
    <row r="169" spans="2:23" x14ac:dyDescent="0.25">
      <c r="B169" s="39"/>
      <c r="C169" s="95"/>
      <c r="H169" s="137"/>
      <c r="I169" s="137"/>
      <c r="J169" s="137"/>
      <c r="P169" s="13"/>
    </row>
    <row r="170" spans="2:23" x14ac:dyDescent="0.25">
      <c r="B170" s="39"/>
      <c r="C170" s="95"/>
      <c r="H170" s="137"/>
      <c r="I170" s="137"/>
      <c r="J170" s="137"/>
      <c r="P170" s="13"/>
    </row>
    <row r="171" spans="2:23" x14ac:dyDescent="0.25">
      <c r="B171" s="39"/>
      <c r="C171" s="95"/>
      <c r="H171" s="137"/>
      <c r="I171" s="137"/>
      <c r="J171" s="137"/>
      <c r="P171" s="13"/>
    </row>
    <row r="172" spans="2:23" ht="12" customHeight="1" thickBot="1" x14ac:dyDescent="0.3">
      <c r="B172" s="39"/>
      <c r="C172" s="95"/>
      <c r="H172" s="137"/>
      <c r="I172" s="137"/>
      <c r="J172" s="137"/>
      <c r="P172" s="13"/>
    </row>
    <row r="173" spans="2:23" s="3" customFormat="1" ht="17.25" thickBot="1" x14ac:dyDescent="0.3">
      <c r="B173" s="50" t="s">
        <v>344</v>
      </c>
      <c r="C173" s="181" t="s">
        <v>345</v>
      </c>
      <c r="D173" s="17" t="s">
        <v>273</v>
      </c>
      <c r="E173" s="17" t="s">
        <v>274</v>
      </c>
      <c r="F173" s="17" t="s">
        <v>275</v>
      </c>
      <c r="G173" s="12" t="s">
        <v>276</v>
      </c>
      <c r="H173"/>
      <c r="I173"/>
      <c r="J173"/>
      <c r="K173" s="34"/>
      <c r="L173" s="34"/>
      <c r="M173" s="34"/>
      <c r="N173" s="34"/>
      <c r="O173" s="34"/>
      <c r="P173" s="47"/>
      <c r="Q173" s="34"/>
      <c r="R173" s="34"/>
      <c r="S173" s="34"/>
      <c r="T173" s="34"/>
      <c r="U173" s="34"/>
      <c r="V173" s="34"/>
      <c r="W173" s="34"/>
    </row>
    <row r="174" spans="2:23" ht="16.5" x14ac:dyDescent="0.3">
      <c r="B174" s="39"/>
      <c r="C174" s="182" t="s">
        <v>89</v>
      </c>
      <c r="D174" s="183">
        <v>0.9</v>
      </c>
      <c r="E174" s="184">
        <v>1</v>
      </c>
      <c r="F174" s="184">
        <v>0.94</v>
      </c>
      <c r="G174" s="185">
        <v>0.56999999999999995</v>
      </c>
      <c r="H174"/>
      <c r="I174"/>
      <c r="J174"/>
      <c r="K174"/>
      <c r="L174"/>
      <c r="M174"/>
      <c r="N174"/>
      <c r="O174"/>
      <c r="P174" s="48"/>
      <c r="Q174"/>
      <c r="R174"/>
      <c r="S174"/>
      <c r="T174"/>
      <c r="U174"/>
      <c r="V174"/>
      <c r="W174"/>
    </row>
    <row r="175" spans="2:23" ht="17.25" thickBot="1" x14ac:dyDescent="0.35">
      <c r="B175" s="39"/>
      <c r="C175" s="186" t="s">
        <v>346</v>
      </c>
      <c r="D175" s="187">
        <v>0.52</v>
      </c>
      <c r="E175" s="188">
        <v>0.6</v>
      </c>
      <c r="F175" s="188">
        <v>1</v>
      </c>
      <c r="G175" s="189">
        <v>0.57999999999999996</v>
      </c>
      <c r="H175"/>
      <c r="I175"/>
      <c r="J175"/>
      <c r="K175"/>
      <c r="L175"/>
      <c r="M175"/>
      <c r="N175"/>
      <c r="O175"/>
      <c r="P175" s="48"/>
      <c r="Q175"/>
      <c r="R175"/>
      <c r="S175"/>
      <c r="T175"/>
      <c r="U175"/>
      <c r="V175"/>
      <c r="W175"/>
    </row>
    <row r="176" spans="2:23" ht="14.25" hidden="1" thickBot="1" x14ac:dyDescent="0.3">
      <c r="B176" s="39"/>
      <c r="C176" s="20" t="s">
        <v>278</v>
      </c>
      <c r="D176" s="35">
        <v>1.42</v>
      </c>
      <c r="E176" s="36">
        <v>1.6</v>
      </c>
      <c r="F176" s="36">
        <v>1.94</v>
      </c>
      <c r="G176" s="37">
        <v>1.1499999999999999</v>
      </c>
      <c r="H176"/>
      <c r="I176"/>
      <c r="J176"/>
      <c r="P176" s="13"/>
    </row>
    <row r="177" spans="2:16" x14ac:dyDescent="0.25">
      <c r="B177" s="39"/>
      <c r="C177"/>
      <c r="D177"/>
      <c r="E177"/>
      <c r="F177"/>
      <c r="G177"/>
      <c r="H177"/>
      <c r="I177" s="137"/>
      <c r="J177" s="137"/>
      <c r="P177" s="13"/>
    </row>
    <row r="178" spans="2:16" x14ac:dyDescent="0.25">
      <c r="B178" s="39"/>
      <c r="C178"/>
      <c r="D178"/>
      <c r="E178"/>
      <c r="F178"/>
      <c r="G178"/>
      <c r="H178"/>
      <c r="I178" s="137"/>
      <c r="J178" s="137"/>
      <c r="P178" s="13"/>
    </row>
    <row r="179" spans="2:16" x14ac:dyDescent="0.25">
      <c r="B179" s="39"/>
      <c r="C179" s="94"/>
      <c r="D179"/>
      <c r="E179"/>
      <c r="F179"/>
      <c r="H179" s="137"/>
      <c r="I179" s="137"/>
      <c r="J179" s="137"/>
      <c r="P179" s="13"/>
    </row>
    <row r="180" spans="2:16" ht="22.5" customHeight="1" x14ac:dyDescent="0.25">
      <c r="B180" s="39"/>
      <c r="C180" s="94"/>
      <c r="D180"/>
      <c r="E180"/>
      <c r="F180"/>
      <c r="H180" s="137"/>
      <c r="I180" s="137"/>
      <c r="J180" s="137"/>
      <c r="P180" s="13"/>
    </row>
    <row r="181" spans="2:16" ht="22.5" customHeight="1" x14ac:dyDescent="0.25">
      <c r="B181" s="39"/>
      <c r="C181" s="94"/>
      <c r="D181"/>
      <c r="E181"/>
      <c r="H181" s="137"/>
      <c r="I181" s="137"/>
      <c r="J181" s="137"/>
      <c r="P181" s="13"/>
    </row>
    <row r="182" spans="2:16" ht="22.5" customHeight="1" x14ac:dyDescent="0.25">
      <c r="B182" s="39"/>
      <c r="C182" s="94"/>
      <c r="D182"/>
      <c r="E182"/>
      <c r="H182" s="137"/>
      <c r="I182" s="137"/>
      <c r="J182" s="137"/>
      <c r="P182" s="13"/>
    </row>
    <row r="183" spans="2:16" ht="22.5" customHeight="1" x14ac:dyDescent="0.25">
      <c r="B183" s="39"/>
      <c r="C183" s="94"/>
      <c r="D183"/>
      <c r="H183" s="137"/>
      <c r="I183" s="137"/>
      <c r="J183" s="137"/>
      <c r="P183" s="13"/>
    </row>
    <row r="184" spans="2:16" ht="22.5" customHeight="1" x14ac:dyDescent="0.25">
      <c r="B184" s="39"/>
      <c r="C184" s="94"/>
      <c r="D184"/>
      <c r="H184" s="137"/>
      <c r="I184" s="137"/>
      <c r="J184" s="137"/>
      <c r="P184" s="13"/>
    </row>
    <row r="185" spans="2:16" ht="22.5" customHeight="1" x14ac:dyDescent="0.25">
      <c r="B185" s="39"/>
      <c r="C185" s="94"/>
      <c r="H185" s="137"/>
      <c r="I185" s="137"/>
      <c r="J185" s="137"/>
      <c r="P185" s="13"/>
    </row>
    <row r="186" spans="2:16" x14ac:dyDescent="0.25">
      <c r="B186" s="39"/>
      <c r="C186" s="94"/>
      <c r="H186" s="137"/>
      <c r="I186" s="137"/>
      <c r="J186" s="137"/>
      <c r="P186" s="13"/>
    </row>
    <row r="187" spans="2:16" x14ac:dyDescent="0.25">
      <c r="B187" s="39"/>
      <c r="C187" s="95"/>
      <c r="H187" s="137"/>
      <c r="I187" s="137"/>
      <c r="J187" s="137"/>
      <c r="P187" s="13"/>
    </row>
    <row r="188" spans="2:16" x14ac:dyDescent="0.25">
      <c r="B188" s="39"/>
      <c r="C188" s="95"/>
      <c r="H188" s="137"/>
      <c r="I188" s="137"/>
      <c r="J188" s="137"/>
      <c r="P188" s="13"/>
    </row>
    <row r="189" spans="2:16" x14ac:dyDescent="0.25">
      <c r="B189" s="39"/>
      <c r="C189" s="95"/>
      <c r="H189" s="137"/>
      <c r="I189" s="137"/>
      <c r="J189" s="137"/>
      <c r="P189" s="13"/>
    </row>
    <row r="190" spans="2:16" x14ac:dyDescent="0.25">
      <c r="B190" s="39"/>
      <c r="C190" s="95"/>
      <c r="H190" s="137"/>
      <c r="I190" s="137"/>
      <c r="J190" s="137"/>
      <c r="P190" s="13"/>
    </row>
    <row r="191" spans="2:16" x14ac:dyDescent="0.25">
      <c r="B191" s="39"/>
      <c r="C191" s="95"/>
      <c r="H191" s="137"/>
      <c r="I191" s="137"/>
      <c r="J191" s="137"/>
      <c r="P191" s="13"/>
    </row>
    <row r="192" spans="2:16" ht="14.25" thickBot="1" x14ac:dyDescent="0.3">
      <c r="B192" s="39"/>
      <c r="H192" s="137"/>
      <c r="I192" s="137"/>
      <c r="J192" s="137"/>
      <c r="P192" s="13"/>
    </row>
    <row r="193" spans="2:23" s="3" customFormat="1" ht="17.25" thickBot="1" x14ac:dyDescent="0.3">
      <c r="B193" s="50" t="s">
        <v>347</v>
      </c>
      <c r="C193" s="190" t="s">
        <v>348</v>
      </c>
      <c r="D193" s="17" t="s">
        <v>273</v>
      </c>
      <c r="E193" s="17" t="s">
        <v>274</v>
      </c>
      <c r="F193" s="17" t="s">
        <v>275</v>
      </c>
      <c r="G193" s="12" t="s">
        <v>276</v>
      </c>
      <c r="H193"/>
      <c r="I193"/>
      <c r="J193" s="34"/>
      <c r="K193" s="34"/>
      <c r="L193" s="34"/>
      <c r="M193" s="34"/>
      <c r="N193" s="34"/>
      <c r="O193" s="34"/>
      <c r="P193" s="47"/>
      <c r="Q193" s="34"/>
      <c r="R193" s="34"/>
      <c r="S193" s="34"/>
      <c r="T193" s="34"/>
      <c r="U193" s="34"/>
      <c r="V193" s="34"/>
      <c r="W193" s="34"/>
    </row>
    <row r="194" spans="2:23" ht="16.5" x14ac:dyDescent="0.3">
      <c r="B194" s="39"/>
      <c r="C194" s="191" t="s">
        <v>97</v>
      </c>
      <c r="D194" s="192">
        <v>1</v>
      </c>
      <c r="E194" s="193">
        <v>1</v>
      </c>
      <c r="F194" s="193">
        <v>1</v>
      </c>
      <c r="G194" s="194">
        <v>0.98</v>
      </c>
      <c r="H194"/>
      <c r="I194"/>
      <c r="J194"/>
      <c r="K194"/>
      <c r="L194"/>
      <c r="M194"/>
      <c r="N194"/>
      <c r="O194"/>
      <c r="P194" s="48"/>
      <c r="Q194"/>
      <c r="R194"/>
      <c r="S194"/>
      <c r="T194"/>
      <c r="U194"/>
      <c r="V194"/>
      <c r="W194"/>
    </row>
    <row r="195" spans="2:23" ht="16.5" x14ac:dyDescent="0.3">
      <c r="B195" s="39"/>
      <c r="C195" s="191" t="s">
        <v>106</v>
      </c>
      <c r="D195" s="192">
        <v>0.97</v>
      </c>
      <c r="E195" s="193">
        <v>1</v>
      </c>
      <c r="F195" s="193">
        <v>1</v>
      </c>
      <c r="G195" s="194">
        <v>0.97</v>
      </c>
      <c r="H195"/>
      <c r="I195"/>
      <c r="J195"/>
      <c r="K195"/>
      <c r="L195"/>
      <c r="M195"/>
      <c r="N195"/>
      <c r="O195"/>
      <c r="P195" s="48"/>
      <c r="Q195"/>
      <c r="R195"/>
      <c r="S195"/>
      <c r="T195"/>
      <c r="U195"/>
      <c r="V195"/>
      <c r="W195"/>
    </row>
    <row r="196" spans="2:23" ht="16.5" x14ac:dyDescent="0.3">
      <c r="B196" s="39"/>
      <c r="C196" s="191" t="s">
        <v>103</v>
      </c>
      <c r="D196" s="192">
        <v>0.98</v>
      </c>
      <c r="E196" s="193">
        <v>0.94299999999999995</v>
      </c>
      <c r="F196" s="193">
        <v>0.86</v>
      </c>
      <c r="G196" s="194">
        <v>0.96</v>
      </c>
      <c r="H196"/>
      <c r="I196"/>
      <c r="J196" s="137"/>
      <c r="P196" s="13"/>
    </row>
    <row r="197" spans="2:23" ht="16.5" x14ac:dyDescent="0.3">
      <c r="B197" s="39"/>
      <c r="C197" s="191" t="s">
        <v>109</v>
      </c>
      <c r="D197" s="192">
        <v>0.97</v>
      </c>
      <c r="E197" s="193">
        <v>0.91400000000000003</v>
      </c>
      <c r="F197" s="193">
        <v>1</v>
      </c>
      <c r="G197" s="194">
        <v>0.96</v>
      </c>
      <c r="H197"/>
      <c r="I197"/>
      <c r="J197" s="137"/>
      <c r="P197" s="13"/>
    </row>
    <row r="198" spans="2:23" ht="17.25" thickBot="1" x14ac:dyDescent="0.35">
      <c r="B198" s="39"/>
      <c r="C198" s="195" t="s">
        <v>100</v>
      </c>
      <c r="D198" s="196">
        <v>0.98</v>
      </c>
      <c r="E198" s="197">
        <v>1</v>
      </c>
      <c r="F198" s="197">
        <v>1</v>
      </c>
      <c r="G198" s="198">
        <v>0.94</v>
      </c>
      <c r="H198"/>
      <c r="I198"/>
      <c r="J198" s="137"/>
      <c r="P198" s="13"/>
    </row>
    <row r="199" spans="2:23" ht="14.25" hidden="1" thickBot="1" x14ac:dyDescent="0.3">
      <c r="B199" s="39"/>
      <c r="C199" s="20" t="s">
        <v>278</v>
      </c>
      <c r="D199" s="35">
        <v>4.9000000000000004</v>
      </c>
      <c r="E199" s="36">
        <v>4.8570000000000002</v>
      </c>
      <c r="F199" s="36">
        <v>4.8599999999999994</v>
      </c>
      <c r="G199" s="37">
        <v>4.8100000000000005</v>
      </c>
      <c r="H199"/>
      <c r="I199"/>
      <c r="J199" s="137"/>
      <c r="P199" s="13"/>
    </row>
    <row r="200" spans="2:23" x14ac:dyDescent="0.25">
      <c r="B200" s="39"/>
      <c r="C200"/>
      <c r="D200"/>
      <c r="E200"/>
      <c r="F200"/>
      <c r="G200"/>
      <c r="H200"/>
      <c r="I200" s="137"/>
      <c r="J200" s="137"/>
      <c r="P200" s="13"/>
    </row>
    <row r="201" spans="2:23" x14ac:dyDescent="0.25">
      <c r="B201" s="39"/>
      <c r="C201"/>
      <c r="D201"/>
      <c r="E201"/>
      <c r="F201"/>
      <c r="G201"/>
      <c r="H201"/>
      <c r="I201" s="137"/>
      <c r="J201" s="137"/>
      <c r="P201" s="13"/>
    </row>
    <row r="202" spans="2:23" ht="14.25" thickBot="1" x14ac:dyDescent="0.3">
      <c r="B202" s="39"/>
      <c r="C202"/>
      <c r="D202"/>
      <c r="E202"/>
      <c r="F202"/>
      <c r="G202"/>
      <c r="H202"/>
      <c r="I202" s="137"/>
      <c r="J202" s="137"/>
      <c r="P202" s="13"/>
    </row>
    <row r="203" spans="2:23" ht="14.25" thickBot="1" x14ac:dyDescent="0.3">
      <c r="B203" s="39"/>
      <c r="C203"/>
      <c r="D203"/>
      <c r="E203"/>
      <c r="F203"/>
      <c r="G203"/>
      <c r="H203"/>
      <c r="I203" s="137"/>
      <c r="J203" s="137"/>
      <c r="P203" s="13"/>
    </row>
    <row r="204" spans="2:23" ht="14.25" thickBot="1" x14ac:dyDescent="0.3">
      <c r="B204" s="39"/>
      <c r="C204"/>
      <c r="D204"/>
      <c r="E204"/>
      <c r="F204"/>
      <c r="G204"/>
      <c r="H204"/>
      <c r="I204" s="137"/>
      <c r="J204" s="137"/>
      <c r="P204" s="13"/>
    </row>
    <row r="205" spans="2:23" x14ac:dyDescent="0.25">
      <c r="B205" s="39"/>
      <c r="C205"/>
      <c r="D205"/>
      <c r="E205"/>
      <c r="F205"/>
      <c r="H205" s="137"/>
      <c r="I205" s="137"/>
      <c r="J205" s="137"/>
      <c r="P205" s="13"/>
    </row>
    <row r="206" spans="2:23" x14ac:dyDescent="0.25">
      <c r="B206" s="39"/>
      <c r="C206"/>
      <c r="D206"/>
      <c r="E206"/>
      <c r="F206"/>
      <c r="H206" s="137"/>
      <c r="I206" s="137"/>
      <c r="J206" s="137"/>
      <c r="P206" s="13"/>
    </row>
    <row r="207" spans="2:23" x14ac:dyDescent="0.25">
      <c r="B207" s="39"/>
      <c r="C207"/>
      <c r="D207"/>
      <c r="E207"/>
      <c r="F207"/>
      <c r="H207" s="137"/>
      <c r="I207" s="137"/>
      <c r="J207" s="137"/>
      <c r="P207" s="13"/>
    </row>
    <row r="208" spans="2:23" x14ac:dyDescent="0.25">
      <c r="B208" s="39"/>
      <c r="C208"/>
      <c r="D208"/>
      <c r="E208"/>
      <c r="F208"/>
      <c r="H208" s="137"/>
      <c r="I208" s="137"/>
      <c r="J208" s="137"/>
      <c r="P208" s="13"/>
    </row>
    <row r="209" spans="2:23" x14ac:dyDescent="0.25">
      <c r="B209" s="39"/>
      <c r="C209"/>
      <c r="D209"/>
      <c r="E209"/>
      <c r="F209"/>
      <c r="H209" s="137"/>
      <c r="I209" s="137"/>
      <c r="J209" s="137"/>
      <c r="P209" s="13"/>
    </row>
    <row r="210" spans="2:23" x14ac:dyDescent="0.25">
      <c r="B210" s="39"/>
      <c r="C210"/>
      <c r="D210"/>
      <c r="E210"/>
      <c r="H210" s="137"/>
      <c r="I210" s="137"/>
      <c r="J210" s="137"/>
      <c r="P210" s="13"/>
    </row>
    <row r="211" spans="2:23" x14ac:dyDescent="0.25">
      <c r="B211" s="39"/>
      <c r="C211"/>
      <c r="D211"/>
      <c r="E211"/>
      <c r="H211" s="137"/>
      <c r="I211" s="137"/>
      <c r="J211" s="137"/>
      <c r="P211" s="13"/>
    </row>
    <row r="212" spans="2:23" x14ac:dyDescent="0.25">
      <c r="B212" s="39"/>
      <c r="C212"/>
      <c r="D212"/>
      <c r="E212"/>
      <c r="H212" s="137"/>
      <c r="I212" s="137"/>
      <c r="J212" s="137"/>
      <c r="P212" s="13"/>
    </row>
    <row r="213" spans="2:23" x14ac:dyDescent="0.25">
      <c r="B213" s="39"/>
      <c r="C213"/>
      <c r="D213"/>
      <c r="E213"/>
      <c r="H213" s="137"/>
      <c r="I213" s="137"/>
      <c r="J213" s="137"/>
      <c r="P213" s="13"/>
    </row>
    <row r="214" spans="2:23" x14ac:dyDescent="0.25">
      <c r="B214" s="39"/>
      <c r="C214"/>
      <c r="D214"/>
      <c r="E214"/>
      <c r="H214" s="137"/>
      <c r="I214" s="137"/>
      <c r="J214" s="137"/>
      <c r="P214" s="13"/>
    </row>
    <row r="215" spans="2:23" x14ac:dyDescent="0.25">
      <c r="B215" s="39"/>
      <c r="C215"/>
      <c r="D215"/>
      <c r="H215" s="137"/>
      <c r="I215" s="137"/>
      <c r="J215" s="137"/>
      <c r="P215" s="13"/>
    </row>
    <row r="216" spans="2:23" x14ac:dyDescent="0.25">
      <c r="B216" s="39"/>
      <c r="C216"/>
      <c r="D216"/>
      <c r="H216" s="137"/>
      <c r="I216" s="137"/>
      <c r="J216" s="137"/>
      <c r="P216" s="13"/>
    </row>
    <row r="217" spans="2:23" x14ac:dyDescent="0.25">
      <c r="B217" s="39"/>
      <c r="C217"/>
      <c r="D217"/>
      <c r="H217" s="137"/>
      <c r="I217" s="137"/>
      <c r="J217" s="137"/>
      <c r="P217" s="13"/>
    </row>
    <row r="218" spans="2:23" x14ac:dyDescent="0.25">
      <c r="B218" s="39"/>
      <c r="C218"/>
      <c r="D218"/>
      <c r="H218" s="137"/>
      <c r="I218" s="137"/>
      <c r="J218" s="137"/>
      <c r="P218" s="13"/>
    </row>
    <row r="219" spans="2:23" ht="14.25" thickBot="1" x14ac:dyDescent="0.3">
      <c r="B219" s="39"/>
      <c r="C219"/>
      <c r="D219"/>
      <c r="H219" s="137"/>
      <c r="I219" s="137"/>
      <c r="J219" s="137"/>
      <c r="P219" s="13"/>
    </row>
    <row r="220" spans="2:23" s="3" customFormat="1" ht="18" thickBot="1" x14ac:dyDescent="0.3">
      <c r="B220" s="50" t="s">
        <v>349</v>
      </c>
      <c r="C220" s="199" t="s">
        <v>350</v>
      </c>
      <c r="D220" s="17" t="s">
        <v>273</v>
      </c>
      <c r="E220" s="17" t="s">
        <v>274</v>
      </c>
      <c r="F220" s="17" t="s">
        <v>275</v>
      </c>
      <c r="G220" s="12" t="s">
        <v>276</v>
      </c>
      <c r="H220"/>
      <c r="I220"/>
      <c r="J220" s="34"/>
      <c r="K220" s="34"/>
      <c r="L220" s="34"/>
      <c r="M220" s="34"/>
      <c r="N220" s="34"/>
      <c r="O220" s="34"/>
      <c r="P220" s="47"/>
      <c r="Q220" s="34"/>
      <c r="R220" s="34"/>
      <c r="S220" s="34"/>
      <c r="T220" s="34"/>
      <c r="U220" s="34"/>
      <c r="V220" s="34"/>
      <c r="W220" s="34"/>
    </row>
    <row r="221" spans="2:23" ht="18" thickBot="1" x14ac:dyDescent="0.35">
      <c r="B221" s="39"/>
      <c r="C221" s="202" t="s">
        <v>139</v>
      </c>
      <c r="D221" s="203">
        <v>1</v>
      </c>
      <c r="E221" s="204">
        <v>1</v>
      </c>
      <c r="F221" s="204">
        <v>0.92</v>
      </c>
      <c r="G221" s="205">
        <v>1</v>
      </c>
      <c r="H221"/>
      <c r="I221"/>
      <c r="J221"/>
      <c r="K221"/>
      <c r="L221"/>
      <c r="M221"/>
      <c r="N221"/>
      <c r="O221"/>
      <c r="P221" s="48"/>
      <c r="Q221"/>
      <c r="R221"/>
      <c r="S221"/>
      <c r="T221"/>
      <c r="U221"/>
      <c r="V221"/>
      <c r="W221"/>
    </row>
    <row r="222" spans="2:23" ht="14.25" hidden="1" thickBot="1" x14ac:dyDescent="0.3">
      <c r="B222" s="39"/>
      <c r="C222" s="20" t="s">
        <v>278</v>
      </c>
      <c r="D222" s="35">
        <v>1</v>
      </c>
      <c r="E222" s="36">
        <v>1</v>
      </c>
      <c r="F222" s="36">
        <v>0.92</v>
      </c>
      <c r="G222" s="37">
        <v>1</v>
      </c>
      <c r="H222"/>
      <c r="I222"/>
      <c r="K222"/>
      <c r="L222"/>
      <c r="M222"/>
      <c r="N222"/>
      <c r="O222"/>
      <c r="P222" s="48"/>
      <c r="Q222"/>
      <c r="R222"/>
      <c r="S222"/>
      <c r="T222"/>
      <c r="U222"/>
      <c r="V222"/>
      <c r="W222"/>
    </row>
    <row r="223" spans="2:23" x14ac:dyDescent="0.25">
      <c r="B223" s="39"/>
      <c r="C223"/>
      <c r="D223"/>
      <c r="E223"/>
      <c r="F223"/>
      <c r="G223"/>
      <c r="H223"/>
      <c r="I223" s="137"/>
      <c r="J223" s="137"/>
      <c r="P223" s="13"/>
    </row>
    <row r="224" spans="2:23" hidden="1" x14ac:dyDescent="0.25">
      <c r="B224" s="39"/>
      <c r="C224"/>
      <c r="D224"/>
      <c r="E224"/>
      <c r="F224"/>
      <c r="G224"/>
      <c r="H224"/>
      <c r="I224" s="137"/>
      <c r="J224" s="137"/>
      <c r="P224" s="13"/>
    </row>
    <row r="225" spans="2:16" x14ac:dyDescent="0.25">
      <c r="B225" s="39"/>
      <c r="C225"/>
      <c r="D225"/>
      <c r="E225"/>
      <c r="F225"/>
      <c r="G225"/>
      <c r="H225"/>
      <c r="I225" s="137"/>
      <c r="J225" s="137"/>
      <c r="P225" s="13"/>
    </row>
    <row r="226" spans="2:16" x14ac:dyDescent="0.25">
      <c r="B226" s="39"/>
      <c r="C226"/>
      <c r="D226"/>
      <c r="E226"/>
      <c r="F226"/>
      <c r="G226"/>
      <c r="H226" s="137"/>
      <c r="I226" s="137"/>
      <c r="J226" s="137"/>
      <c r="P226" s="13"/>
    </row>
    <row r="227" spans="2:16" x14ac:dyDescent="0.25">
      <c r="B227" s="39"/>
      <c r="C227"/>
      <c r="D227"/>
      <c r="E227"/>
      <c r="F227"/>
      <c r="H227" s="137"/>
      <c r="I227" s="137"/>
      <c r="J227" s="137"/>
      <c r="P227" s="13"/>
    </row>
    <row r="228" spans="2:16" x14ac:dyDescent="0.25">
      <c r="B228" s="39"/>
      <c r="C228"/>
      <c r="D228"/>
      <c r="E228"/>
      <c r="F228"/>
      <c r="H228" s="137"/>
      <c r="I228" s="137"/>
      <c r="J228" s="137"/>
      <c r="P228" s="13"/>
    </row>
    <row r="229" spans="2:16" ht="28.5" customHeight="1" x14ac:dyDescent="0.25">
      <c r="B229" s="39"/>
      <c r="C229"/>
      <c r="D229"/>
      <c r="E229"/>
      <c r="F229"/>
      <c r="H229" s="137"/>
      <c r="I229" s="137"/>
      <c r="J229" s="137"/>
      <c r="P229" s="13"/>
    </row>
    <row r="230" spans="2:16" ht="28.5" customHeight="1" x14ac:dyDescent="0.25">
      <c r="B230" s="39"/>
      <c r="C230"/>
      <c r="D230"/>
      <c r="E230"/>
      <c r="H230" s="137"/>
      <c r="I230" s="137"/>
      <c r="J230" s="137"/>
      <c r="P230" s="13"/>
    </row>
    <row r="231" spans="2:16" ht="28.5" customHeight="1" x14ac:dyDescent="0.25">
      <c r="B231" s="39"/>
      <c r="C231"/>
      <c r="D231"/>
      <c r="E231"/>
      <c r="H231" s="137"/>
      <c r="I231" s="137"/>
      <c r="J231" s="137"/>
      <c r="P231" s="13"/>
    </row>
    <row r="232" spans="2:16" x14ac:dyDescent="0.25">
      <c r="B232" s="39"/>
      <c r="C232"/>
      <c r="D232"/>
      <c r="E232"/>
      <c r="H232" s="137"/>
      <c r="I232" s="137"/>
      <c r="J232" s="137"/>
      <c r="P232" s="13"/>
    </row>
    <row r="233" spans="2:16" x14ac:dyDescent="0.25">
      <c r="B233" s="39"/>
      <c r="C233"/>
      <c r="D233"/>
      <c r="H233" s="137"/>
      <c r="I233" s="137"/>
      <c r="J233" s="137"/>
      <c r="P233" s="13"/>
    </row>
    <row r="234" spans="2:16" x14ac:dyDescent="0.25">
      <c r="B234" s="39"/>
      <c r="C234"/>
      <c r="D234"/>
      <c r="H234" s="137"/>
      <c r="I234" s="137"/>
      <c r="J234" s="137"/>
      <c r="P234" s="13"/>
    </row>
    <row r="235" spans="2:16" x14ac:dyDescent="0.25">
      <c r="B235" s="39"/>
      <c r="C235"/>
      <c r="D235"/>
      <c r="H235" s="137"/>
      <c r="I235" s="137"/>
      <c r="J235" s="137"/>
      <c r="P235" s="13"/>
    </row>
    <row r="236" spans="2:16" x14ac:dyDescent="0.25">
      <c r="B236" s="39"/>
      <c r="C236"/>
      <c r="H236" s="137"/>
      <c r="I236" s="137"/>
      <c r="J236" s="137"/>
      <c r="P236" s="13"/>
    </row>
    <row r="237" spans="2:16" x14ac:dyDescent="0.25">
      <c r="B237" s="39"/>
      <c r="C237"/>
      <c r="H237" s="137"/>
      <c r="I237" s="137"/>
      <c r="J237" s="137"/>
      <c r="P237" s="13"/>
    </row>
    <row r="238" spans="2:16" x14ac:dyDescent="0.25">
      <c r="B238" s="39"/>
      <c r="C238"/>
      <c r="H238" s="137"/>
      <c r="I238" s="137"/>
      <c r="J238" s="137"/>
      <c r="P238" s="13"/>
    </row>
    <row r="239" spans="2:16" x14ac:dyDescent="0.25">
      <c r="B239" s="39"/>
      <c r="H239" s="137"/>
      <c r="I239" s="137"/>
      <c r="J239" s="137"/>
      <c r="P239" s="13"/>
    </row>
    <row r="240" spans="2:16" ht="14.25" thickBot="1" x14ac:dyDescent="0.3">
      <c r="B240" s="41"/>
      <c r="C240" s="15"/>
      <c r="D240" s="33"/>
      <c r="E240" s="33"/>
      <c r="F240" s="33"/>
      <c r="G240" s="33"/>
      <c r="H240" s="54"/>
      <c r="I240" s="54"/>
      <c r="J240" s="54"/>
      <c r="K240" s="15"/>
      <c r="L240" s="15"/>
      <c r="M240" s="15"/>
      <c r="N240" s="15"/>
      <c r="O240" s="15"/>
      <c r="P240" s="16"/>
    </row>
    <row r="241" spans="2:23" s="3" customFormat="1" ht="18" thickBot="1" x14ac:dyDescent="0.3">
      <c r="B241" s="50" t="s">
        <v>351</v>
      </c>
      <c r="C241" s="199" t="s">
        <v>352</v>
      </c>
      <c r="D241" s="17" t="s">
        <v>353</v>
      </c>
      <c r="E241" s="17" t="s">
        <v>274</v>
      </c>
      <c r="F241" s="17" t="s">
        <v>275</v>
      </c>
      <c r="G241" s="12" t="s">
        <v>276</v>
      </c>
      <c r="H241"/>
      <c r="I241"/>
      <c r="J241"/>
      <c r="K241" s="34"/>
      <c r="L241" s="34"/>
      <c r="M241" s="34"/>
      <c r="N241" s="34"/>
      <c r="O241" s="34"/>
      <c r="P241" s="47"/>
      <c r="Q241" s="34"/>
      <c r="R241" s="34"/>
      <c r="S241" s="34"/>
      <c r="T241" s="34"/>
      <c r="U241" s="34"/>
      <c r="V241" s="34"/>
      <c r="W241" s="34"/>
    </row>
    <row r="242" spans="2:23" ht="18" thickBot="1" x14ac:dyDescent="0.35">
      <c r="B242" s="39"/>
      <c r="C242" s="202" t="s">
        <v>354</v>
      </c>
      <c r="D242" s="203"/>
      <c r="E242" s="204"/>
      <c r="F242" s="204"/>
      <c r="G242" s="205"/>
      <c r="H242"/>
      <c r="I242"/>
      <c r="J242"/>
      <c r="K242"/>
      <c r="L242"/>
      <c r="M242"/>
      <c r="N242"/>
      <c r="O242"/>
      <c r="P242" s="48"/>
      <c r="Q242"/>
      <c r="R242"/>
      <c r="S242"/>
      <c r="T242"/>
      <c r="U242"/>
      <c r="V242"/>
      <c r="W242"/>
    </row>
    <row r="243" spans="2:23" ht="14.25" hidden="1" thickBot="1" x14ac:dyDescent="0.3">
      <c r="B243" s="39"/>
      <c r="C243" s="20" t="s">
        <v>278</v>
      </c>
      <c r="D243" s="35"/>
      <c r="E243" s="36"/>
      <c r="F243" s="36"/>
      <c r="G243" s="37"/>
      <c r="H243"/>
      <c r="I243"/>
      <c r="J243"/>
      <c r="K243"/>
      <c r="L243"/>
      <c r="M243"/>
      <c r="N243"/>
      <c r="O243"/>
      <c r="P243" s="48"/>
      <c r="Q243"/>
      <c r="R243"/>
      <c r="S243"/>
      <c r="T243"/>
      <c r="U243"/>
      <c r="V243"/>
      <c r="W243"/>
    </row>
    <row r="244" spans="2:23" x14ac:dyDescent="0.25">
      <c r="B244" s="39"/>
      <c r="C244"/>
      <c r="D244"/>
      <c r="E244"/>
      <c r="F244"/>
      <c r="G244"/>
      <c r="H244"/>
      <c r="I244"/>
      <c r="J244" s="137"/>
      <c r="P244" s="13"/>
    </row>
    <row r="245" spans="2:23" x14ac:dyDescent="0.25">
      <c r="B245" s="39"/>
      <c r="C245"/>
      <c r="D245"/>
      <c r="E245"/>
      <c r="F245"/>
      <c r="G245"/>
      <c r="H245"/>
      <c r="I245" s="137"/>
      <c r="J245" s="137"/>
      <c r="P245" s="13"/>
    </row>
    <row r="246" spans="2:23" hidden="1" x14ac:dyDescent="0.25">
      <c r="B246" s="39"/>
      <c r="C246"/>
      <c r="D246"/>
      <c r="E246"/>
      <c r="F246"/>
      <c r="G246"/>
      <c r="H246"/>
      <c r="I246" s="137"/>
      <c r="J246" s="137"/>
      <c r="P246" s="13"/>
    </row>
    <row r="247" spans="2:23" x14ac:dyDescent="0.25">
      <c r="B247" s="39"/>
      <c r="C247"/>
      <c r="D247"/>
      <c r="E247"/>
      <c r="F247"/>
      <c r="G247"/>
      <c r="H247" s="136"/>
      <c r="I247" s="137"/>
      <c r="J247" s="137"/>
      <c r="P247" s="13"/>
    </row>
    <row r="248" spans="2:23" x14ac:dyDescent="0.25">
      <c r="B248" s="39"/>
      <c r="C248"/>
      <c r="D248"/>
      <c r="E248"/>
      <c r="F248"/>
      <c r="G248"/>
      <c r="H248" s="136"/>
      <c r="I248" s="137"/>
      <c r="J248" s="137"/>
      <c r="P248" s="13"/>
    </row>
    <row r="249" spans="2:23" x14ac:dyDescent="0.25">
      <c r="B249" s="39"/>
      <c r="C249"/>
      <c r="D249"/>
      <c r="E249"/>
      <c r="F249"/>
      <c r="G249"/>
      <c r="H249" s="136"/>
      <c r="I249" s="137"/>
      <c r="J249" s="137"/>
      <c r="P249" s="13"/>
    </row>
    <row r="250" spans="2:23" x14ac:dyDescent="0.25">
      <c r="B250" s="39"/>
      <c r="C250"/>
      <c r="D250"/>
      <c r="E250"/>
      <c r="F250"/>
      <c r="G250"/>
      <c r="H250" s="136"/>
      <c r="I250" s="137"/>
      <c r="J250" s="137"/>
      <c r="P250" s="13"/>
    </row>
    <row r="251" spans="2:23" ht="14.25" customHeight="1" x14ac:dyDescent="0.25">
      <c r="B251" s="39"/>
      <c r="C251"/>
      <c r="D251"/>
      <c r="E251"/>
      <c r="F251"/>
      <c r="G251" s="136"/>
      <c r="H251" s="136"/>
      <c r="I251" s="137"/>
      <c r="J251" s="137"/>
      <c r="P251" s="13"/>
    </row>
    <row r="252" spans="2:23" ht="14.25" customHeight="1" x14ac:dyDescent="0.25">
      <c r="B252" s="39"/>
      <c r="C252"/>
      <c r="D252"/>
      <c r="E252"/>
      <c r="F252"/>
      <c r="G252" s="136"/>
      <c r="H252" s="136"/>
      <c r="I252" s="137"/>
      <c r="J252" s="137"/>
      <c r="P252" s="13"/>
    </row>
    <row r="253" spans="2:23" ht="14.25" customHeight="1" x14ac:dyDescent="0.25">
      <c r="B253" s="39"/>
      <c r="C253"/>
      <c r="D253"/>
      <c r="E253"/>
      <c r="F253"/>
      <c r="G253" s="136"/>
      <c r="H253" s="136"/>
      <c r="I253" s="137"/>
      <c r="J253" s="137"/>
      <c r="P253" s="13"/>
    </row>
    <row r="254" spans="2:23" ht="14.25" customHeight="1" x14ac:dyDescent="0.25">
      <c r="B254" s="39"/>
      <c r="C254"/>
      <c r="D254"/>
      <c r="E254"/>
      <c r="F254"/>
      <c r="G254" s="136"/>
      <c r="H254" s="136"/>
      <c r="I254" s="137"/>
      <c r="J254" s="137"/>
      <c r="P254" s="13"/>
    </row>
    <row r="255" spans="2:23" ht="14.25" customHeight="1" x14ac:dyDescent="0.25">
      <c r="B255" s="39"/>
      <c r="C255"/>
      <c r="D255"/>
      <c r="E255"/>
      <c r="F255" s="136"/>
      <c r="G255" s="136"/>
      <c r="H255" s="136"/>
      <c r="I255" s="137"/>
      <c r="J255" s="137"/>
      <c r="P255" s="13"/>
    </row>
    <row r="256" spans="2:23" x14ac:dyDescent="0.25">
      <c r="B256" s="39"/>
      <c r="C256"/>
      <c r="D256"/>
      <c r="E256"/>
      <c r="F256" s="136"/>
      <c r="G256" s="136"/>
      <c r="H256" s="136"/>
      <c r="I256" s="137"/>
      <c r="J256" s="137"/>
      <c r="P256" s="13"/>
    </row>
    <row r="257" spans="2:23" x14ac:dyDescent="0.25">
      <c r="B257" s="39"/>
      <c r="C257"/>
      <c r="D257"/>
      <c r="E257"/>
      <c r="F257" s="136"/>
      <c r="G257" s="136"/>
      <c r="H257" s="136"/>
      <c r="I257" s="137"/>
      <c r="J257" s="137"/>
      <c r="P257" s="13"/>
    </row>
    <row r="258" spans="2:23" x14ac:dyDescent="0.25">
      <c r="B258" s="39"/>
      <c r="C258"/>
      <c r="D258"/>
      <c r="E258"/>
      <c r="F258" s="136"/>
      <c r="G258" s="136"/>
      <c r="H258" s="136"/>
      <c r="I258" s="137"/>
      <c r="J258" s="137"/>
      <c r="P258" s="13"/>
    </row>
    <row r="259" spans="2:23" x14ac:dyDescent="0.25">
      <c r="B259" s="39"/>
      <c r="C259"/>
      <c r="D259"/>
      <c r="E259" s="136"/>
      <c r="F259" s="136"/>
      <c r="G259" s="136"/>
      <c r="H259" s="136"/>
      <c r="I259" s="137"/>
      <c r="J259" s="137"/>
      <c r="P259" s="13"/>
    </row>
    <row r="260" spans="2:23" x14ac:dyDescent="0.25">
      <c r="B260" s="39"/>
      <c r="C260"/>
      <c r="D260"/>
      <c r="E260" s="136"/>
      <c r="F260" s="136"/>
      <c r="G260" s="136"/>
      <c r="H260" s="136"/>
      <c r="I260" s="137"/>
      <c r="J260" s="137"/>
      <c r="P260" s="13"/>
    </row>
    <row r="261" spans="2:23" x14ac:dyDescent="0.25">
      <c r="B261" s="39"/>
      <c r="C261"/>
      <c r="D261"/>
      <c r="E261" s="136"/>
      <c r="F261" s="136"/>
      <c r="G261" s="136"/>
      <c r="H261" s="136"/>
      <c r="I261" s="137"/>
      <c r="J261" s="137"/>
      <c r="P261" s="13"/>
    </row>
    <row r="262" spans="2:23" x14ac:dyDescent="0.25">
      <c r="B262" s="39"/>
      <c r="C262"/>
      <c r="D262"/>
      <c r="E262" s="136"/>
      <c r="F262" s="136"/>
      <c r="G262" s="136"/>
      <c r="H262" s="136"/>
      <c r="I262" s="137"/>
      <c r="J262" s="137"/>
      <c r="P262" s="13"/>
    </row>
    <row r="263" spans="2:23" x14ac:dyDescent="0.25">
      <c r="B263" s="39"/>
      <c r="C263" s="138"/>
      <c r="D263" s="136"/>
      <c r="E263" s="136"/>
      <c r="F263" s="136"/>
      <c r="G263" s="136"/>
      <c r="H263" s="136"/>
      <c r="I263" s="137"/>
      <c r="J263" s="137"/>
      <c r="P263" s="13"/>
    </row>
    <row r="264" spans="2:23" ht="19.5" customHeight="1" thickBot="1" x14ac:dyDescent="0.3">
      <c r="B264" s="39"/>
      <c r="C264" s="138"/>
      <c r="D264" s="136"/>
      <c r="E264" s="136"/>
      <c r="F264" s="136"/>
      <c r="G264" s="136"/>
      <c r="H264" s="136"/>
      <c r="I264" s="137"/>
      <c r="J264" s="137"/>
      <c r="P264" s="13"/>
    </row>
    <row r="265" spans="2:23" s="3" customFormat="1" ht="17.25" thickBot="1" x14ac:dyDescent="0.3">
      <c r="B265" s="50" t="s">
        <v>351</v>
      </c>
      <c r="C265" s="190" t="s">
        <v>352</v>
      </c>
      <c r="D265" s="17" t="s">
        <v>273</v>
      </c>
      <c r="E265" s="17" t="s">
        <v>274</v>
      </c>
      <c r="F265" s="17" t="s">
        <v>275</v>
      </c>
      <c r="G265" s="12" t="s">
        <v>276</v>
      </c>
      <c r="H265"/>
      <c r="I265"/>
      <c r="J265" s="34"/>
      <c r="K265" s="34"/>
      <c r="L265" s="34"/>
      <c r="M265" s="34"/>
      <c r="N265" s="34"/>
      <c r="O265" s="34"/>
      <c r="P265" s="47"/>
      <c r="Q265" s="34"/>
      <c r="R265" s="34"/>
      <c r="S265" s="34"/>
      <c r="T265" s="34"/>
      <c r="U265" s="34"/>
      <c r="V265" s="34"/>
      <c r="W265" s="34"/>
    </row>
    <row r="266" spans="2:23" ht="16.5" x14ac:dyDescent="0.25">
      <c r="B266" s="39"/>
      <c r="C266" s="257" t="s">
        <v>166</v>
      </c>
      <c r="D266" s="183"/>
      <c r="E266" s="184"/>
      <c r="F266" s="184"/>
      <c r="G266" s="185"/>
      <c r="H266"/>
      <c r="I266"/>
      <c r="J266"/>
      <c r="K266"/>
      <c r="L266"/>
      <c r="M266"/>
      <c r="N266"/>
      <c r="O266"/>
      <c r="P266" s="48"/>
      <c r="Q266"/>
      <c r="R266"/>
      <c r="S266"/>
      <c r="T266"/>
      <c r="U266"/>
      <c r="V266"/>
      <c r="W266"/>
    </row>
    <row r="267" spans="2:23" ht="16.5" x14ac:dyDescent="0.25">
      <c r="B267" s="39"/>
      <c r="C267" s="258" t="s">
        <v>170</v>
      </c>
      <c r="D267" s="207"/>
      <c r="E267" s="266"/>
      <c r="F267" s="266"/>
      <c r="G267" s="208"/>
      <c r="H267"/>
      <c r="I267"/>
      <c r="J267"/>
      <c r="K267"/>
      <c r="L267"/>
      <c r="M267"/>
      <c r="N267"/>
      <c r="O267"/>
      <c r="P267" s="48"/>
      <c r="Q267"/>
      <c r="R267"/>
      <c r="S267"/>
      <c r="T267"/>
      <c r="U267"/>
      <c r="V267"/>
      <c r="W267"/>
    </row>
    <row r="268" spans="2:23" ht="16.5" x14ac:dyDescent="0.25">
      <c r="B268" s="39"/>
      <c r="C268" s="258" t="s">
        <v>173</v>
      </c>
      <c r="D268" s="207"/>
      <c r="E268" s="266"/>
      <c r="F268" s="266"/>
      <c r="G268" s="208"/>
      <c r="H268"/>
      <c r="I268"/>
      <c r="J268" s="137"/>
      <c r="P268" s="13"/>
    </row>
    <row r="269" spans="2:23" ht="16.5" x14ac:dyDescent="0.25">
      <c r="B269" s="39"/>
      <c r="C269" s="258" t="s">
        <v>178</v>
      </c>
      <c r="D269" s="207"/>
      <c r="E269" s="266"/>
      <c r="F269" s="266"/>
      <c r="G269" s="208"/>
      <c r="H269"/>
      <c r="I269" s="137"/>
      <c r="J269" s="137"/>
      <c r="P269" s="13"/>
    </row>
    <row r="270" spans="2:23" ht="16.5" hidden="1" x14ac:dyDescent="0.25">
      <c r="B270" s="39"/>
      <c r="C270" s="258" t="s">
        <v>181</v>
      </c>
      <c r="D270" s="207"/>
      <c r="E270" s="266"/>
      <c r="F270" s="266"/>
      <c r="G270" s="208"/>
      <c r="H270"/>
      <c r="I270" s="137"/>
      <c r="J270" s="137"/>
      <c r="P270" s="13"/>
    </row>
    <row r="271" spans="2:23" ht="16.5" x14ac:dyDescent="0.25">
      <c r="B271" s="39"/>
      <c r="C271" s="258" t="s">
        <v>186</v>
      </c>
      <c r="D271" s="207"/>
      <c r="E271" s="266"/>
      <c r="F271" s="266"/>
      <c r="G271" s="208"/>
      <c r="H271"/>
      <c r="I271" s="137"/>
      <c r="J271" s="137"/>
      <c r="P271" s="13"/>
    </row>
    <row r="272" spans="2:23" ht="16.5" x14ac:dyDescent="0.25">
      <c r="B272" s="39"/>
      <c r="C272" s="259" t="s">
        <v>189</v>
      </c>
      <c r="D272" s="207"/>
      <c r="E272" s="266"/>
      <c r="F272" s="266"/>
      <c r="G272" s="208"/>
      <c r="H272"/>
      <c r="I272" s="137"/>
      <c r="J272" s="137"/>
      <c r="P272" s="13"/>
    </row>
    <row r="273" spans="2:16" ht="16.5" x14ac:dyDescent="0.25">
      <c r="B273" s="39"/>
      <c r="C273" s="259" t="s">
        <v>192</v>
      </c>
      <c r="D273" s="207"/>
      <c r="E273" s="266"/>
      <c r="F273" s="266"/>
      <c r="G273" s="208"/>
      <c r="H273"/>
      <c r="I273" s="137"/>
      <c r="J273" s="137"/>
      <c r="P273" s="13"/>
    </row>
    <row r="274" spans="2:16" ht="16.5" x14ac:dyDescent="0.25">
      <c r="B274" s="39"/>
      <c r="C274" s="258" t="s">
        <v>195</v>
      </c>
      <c r="D274" s="207"/>
      <c r="E274" s="266"/>
      <c r="F274" s="266"/>
      <c r="G274" s="208"/>
      <c r="H274"/>
      <c r="I274" s="137"/>
      <c r="J274" s="137"/>
      <c r="P274" s="13"/>
    </row>
    <row r="275" spans="2:16" ht="16.5" x14ac:dyDescent="0.25">
      <c r="B275" s="39"/>
      <c r="C275" s="258" t="s">
        <v>198</v>
      </c>
      <c r="D275" s="207"/>
      <c r="E275" s="266"/>
      <c r="F275" s="266"/>
      <c r="G275" s="208"/>
      <c r="H275"/>
      <c r="I275" s="137"/>
      <c r="J275" s="137"/>
      <c r="P275" s="13"/>
    </row>
    <row r="276" spans="2:16" ht="16.5" x14ac:dyDescent="0.25">
      <c r="B276" s="39"/>
      <c r="C276" s="259" t="s">
        <v>355</v>
      </c>
      <c r="D276" s="207"/>
      <c r="E276" s="266"/>
      <c r="F276" s="266"/>
      <c r="G276" s="208"/>
      <c r="H276"/>
      <c r="I276" s="137"/>
      <c r="J276" s="137"/>
      <c r="P276" s="13"/>
    </row>
    <row r="277" spans="2:16" ht="16.5" x14ac:dyDescent="0.25">
      <c r="B277" s="39"/>
      <c r="C277" s="258" t="s">
        <v>356</v>
      </c>
      <c r="D277" s="207"/>
      <c r="E277" s="266"/>
      <c r="F277" s="266"/>
      <c r="G277" s="208"/>
      <c r="H277"/>
      <c r="I277" s="137"/>
      <c r="J277" s="137"/>
      <c r="P277" s="13"/>
    </row>
    <row r="278" spans="2:16" ht="17.25" thickBot="1" x14ac:dyDescent="0.3">
      <c r="B278" s="39"/>
      <c r="C278" s="260" t="s">
        <v>203</v>
      </c>
      <c r="D278" s="187"/>
      <c r="E278" s="188"/>
      <c r="F278" s="188"/>
      <c r="G278" s="189"/>
      <c r="H278"/>
      <c r="I278" s="137"/>
      <c r="J278" s="137"/>
      <c r="P278" s="13"/>
    </row>
    <row r="279" spans="2:16" ht="14.25" thickBot="1" x14ac:dyDescent="0.3">
      <c r="B279" s="39"/>
      <c r="C279" s="20" t="s">
        <v>278</v>
      </c>
      <c r="D279" s="35"/>
      <c r="E279" s="36"/>
      <c r="F279" s="36"/>
      <c r="G279" s="37"/>
      <c r="H279"/>
      <c r="I279" s="137"/>
      <c r="J279" s="137"/>
      <c r="P279" s="13"/>
    </row>
    <row r="280" spans="2:16" hidden="1" x14ac:dyDescent="0.25">
      <c r="B280" s="39"/>
      <c r="C280"/>
      <c r="D280"/>
      <c r="E280"/>
      <c r="F280"/>
      <c r="G280"/>
      <c r="H280"/>
      <c r="I280" s="137"/>
      <c r="J280" s="137"/>
      <c r="P280" s="13"/>
    </row>
    <row r="281" spans="2:16" x14ac:dyDescent="0.25">
      <c r="B281" s="39"/>
      <c r="C281" s="261" t="s">
        <v>357</v>
      </c>
      <c r="D281"/>
      <c r="E281"/>
      <c r="F281"/>
      <c r="G281"/>
      <c r="H281"/>
      <c r="I281" s="137"/>
      <c r="J281" s="137"/>
      <c r="P281" s="13"/>
    </row>
    <row r="282" spans="2:16" x14ac:dyDescent="0.25">
      <c r="B282" s="39"/>
      <c r="C282"/>
      <c r="D282"/>
      <c r="E282"/>
      <c r="F282"/>
      <c r="G282"/>
      <c r="H282" s="136"/>
      <c r="I282" s="137"/>
      <c r="J282" s="137"/>
      <c r="P282" s="13"/>
    </row>
    <row r="283" spans="2:16" x14ac:dyDescent="0.25">
      <c r="B283" s="39"/>
      <c r="C283"/>
      <c r="D283"/>
      <c r="E283"/>
      <c r="F283"/>
      <c r="G283"/>
      <c r="H283" s="136"/>
      <c r="I283" s="137"/>
      <c r="J283" s="137"/>
      <c r="P283" s="13"/>
    </row>
    <row r="284" spans="2:16" x14ac:dyDescent="0.25">
      <c r="B284" s="39"/>
      <c r="C284"/>
      <c r="D284"/>
      <c r="E284"/>
      <c r="F284"/>
      <c r="G284"/>
      <c r="H284" s="136"/>
      <c r="I284" s="137"/>
      <c r="J284" s="137"/>
      <c r="P284" s="13"/>
    </row>
    <row r="285" spans="2:16" x14ac:dyDescent="0.25">
      <c r="B285" s="39"/>
      <c r="C285"/>
      <c r="D285"/>
      <c r="E285"/>
      <c r="F285"/>
      <c r="G285"/>
      <c r="H285" s="136"/>
      <c r="I285" s="137"/>
      <c r="J285" s="137"/>
      <c r="P285" s="13"/>
    </row>
    <row r="286" spans="2:16" x14ac:dyDescent="0.25">
      <c r="B286" s="39"/>
      <c r="C286"/>
      <c r="D286"/>
      <c r="E286"/>
      <c r="F286"/>
      <c r="G286"/>
      <c r="H286" s="136"/>
      <c r="I286" s="137"/>
      <c r="J286" s="137"/>
      <c r="P286" s="13"/>
    </row>
    <row r="287" spans="2:16" x14ac:dyDescent="0.25">
      <c r="B287" s="39"/>
      <c r="C287"/>
      <c r="D287"/>
      <c r="E287"/>
      <c r="F287"/>
      <c r="G287"/>
      <c r="H287" s="136"/>
      <c r="I287" s="137"/>
      <c r="J287" s="137"/>
      <c r="P287" s="13"/>
    </row>
    <row r="288" spans="2:16" x14ac:dyDescent="0.25">
      <c r="B288" s="39"/>
      <c r="C288"/>
      <c r="D288"/>
      <c r="E288"/>
      <c r="F288"/>
      <c r="G288"/>
      <c r="H288" s="136"/>
      <c r="I288" s="137"/>
      <c r="J288" s="137"/>
      <c r="P288" s="13"/>
    </row>
    <row r="289" spans="2:16" x14ac:dyDescent="0.25">
      <c r="B289" s="39"/>
      <c r="C289"/>
      <c r="D289"/>
      <c r="E289"/>
      <c r="F289"/>
      <c r="G289"/>
      <c r="H289" s="136"/>
      <c r="I289" s="137"/>
      <c r="J289" s="137"/>
      <c r="P289" s="13"/>
    </row>
    <row r="290" spans="2:16" x14ac:dyDescent="0.25">
      <c r="B290" s="39"/>
      <c r="C290"/>
      <c r="D290"/>
      <c r="E290"/>
      <c r="F290"/>
      <c r="G290"/>
      <c r="H290" s="136"/>
      <c r="I290" s="137"/>
      <c r="J290" s="137"/>
      <c r="P290" s="13"/>
    </row>
    <row r="291" spans="2:16" x14ac:dyDescent="0.25">
      <c r="B291" s="39"/>
      <c r="C291"/>
      <c r="D291"/>
      <c r="E291"/>
      <c r="F291"/>
      <c r="G291"/>
      <c r="H291" s="136"/>
      <c r="I291" s="137"/>
      <c r="J291" s="137"/>
      <c r="P291" s="13"/>
    </row>
    <row r="292" spans="2:16" x14ac:dyDescent="0.25">
      <c r="B292" s="39"/>
      <c r="C292"/>
      <c r="D292"/>
      <c r="E292"/>
      <c r="F292"/>
      <c r="G292"/>
      <c r="H292" s="136"/>
      <c r="I292" s="137"/>
      <c r="J292" s="137"/>
      <c r="P292" s="13"/>
    </row>
    <row r="293" spans="2:16" x14ac:dyDescent="0.25">
      <c r="B293" s="39"/>
      <c r="C293"/>
      <c r="D293"/>
      <c r="E293"/>
      <c r="F293"/>
      <c r="G293"/>
      <c r="H293" s="136"/>
      <c r="I293" s="137"/>
      <c r="J293" s="137"/>
      <c r="P293" s="13"/>
    </row>
    <row r="294" spans="2:16" x14ac:dyDescent="0.25">
      <c r="B294" s="39"/>
      <c r="C294"/>
      <c r="D294"/>
      <c r="E294"/>
      <c r="F294"/>
      <c r="G294"/>
      <c r="H294" s="136"/>
      <c r="I294" s="137"/>
      <c r="J294" s="137"/>
      <c r="P294" s="13"/>
    </row>
    <row r="295" spans="2:16" x14ac:dyDescent="0.25">
      <c r="B295" s="39"/>
      <c r="C295"/>
      <c r="D295"/>
      <c r="E295"/>
      <c r="F295"/>
      <c r="G295"/>
      <c r="H295" s="136"/>
      <c r="I295" s="137"/>
      <c r="J295" s="137"/>
      <c r="P295" s="13"/>
    </row>
    <row r="296" spans="2:16" x14ac:dyDescent="0.25">
      <c r="B296" s="39"/>
      <c r="C296"/>
      <c r="D296"/>
      <c r="E296" s="136"/>
      <c r="F296" s="136"/>
      <c r="G296" s="136"/>
      <c r="H296" s="136"/>
      <c r="I296" s="137"/>
      <c r="J296" s="137"/>
      <c r="P296" s="13"/>
    </row>
    <row r="297" spans="2:16" x14ac:dyDescent="0.25">
      <c r="B297" s="39"/>
      <c r="C297"/>
      <c r="D297"/>
      <c r="E297" s="136"/>
      <c r="F297" s="136"/>
      <c r="G297" s="136"/>
      <c r="H297" s="136"/>
      <c r="I297" s="137"/>
      <c r="J297" s="137"/>
      <c r="P297" s="13"/>
    </row>
    <row r="298" spans="2:16" x14ac:dyDescent="0.25">
      <c r="B298" s="39"/>
      <c r="C298"/>
      <c r="D298"/>
      <c r="E298" s="136"/>
      <c r="F298" s="136"/>
      <c r="G298" s="136"/>
      <c r="H298" s="136"/>
      <c r="I298" s="137"/>
      <c r="J298" s="137"/>
      <c r="P298" s="13"/>
    </row>
    <row r="299" spans="2:16" x14ac:dyDescent="0.25">
      <c r="B299" s="39"/>
      <c r="C299"/>
      <c r="D299"/>
      <c r="E299" s="136"/>
      <c r="F299" s="136"/>
      <c r="G299" s="136"/>
      <c r="H299" s="136"/>
      <c r="I299" s="137"/>
      <c r="J299" s="137"/>
      <c r="P299" s="13"/>
    </row>
    <row r="300" spans="2:16" x14ac:dyDescent="0.25">
      <c r="B300" s="39"/>
      <c r="C300"/>
      <c r="D300"/>
      <c r="E300" s="136"/>
      <c r="F300" s="136"/>
      <c r="G300" s="136"/>
      <c r="H300" s="136"/>
      <c r="I300" s="137"/>
      <c r="J300" s="137"/>
      <c r="P300" s="13"/>
    </row>
    <row r="301" spans="2:16" x14ac:dyDescent="0.25">
      <c r="B301" s="39"/>
      <c r="C301"/>
      <c r="D301"/>
      <c r="E301" s="136"/>
      <c r="F301" s="136"/>
      <c r="G301" s="136"/>
      <c r="H301" s="136"/>
      <c r="I301" s="137"/>
      <c r="J301" s="137"/>
      <c r="P301" s="13"/>
    </row>
    <row r="302" spans="2:16" x14ac:dyDescent="0.25">
      <c r="B302" s="39"/>
      <c r="C302"/>
      <c r="D302"/>
      <c r="E302" s="136"/>
      <c r="F302" s="136"/>
      <c r="G302" s="136"/>
      <c r="H302" s="136"/>
      <c r="I302" s="137"/>
      <c r="J302" s="137"/>
      <c r="P302" s="13"/>
    </row>
    <row r="303" spans="2:16" x14ac:dyDescent="0.25">
      <c r="B303" s="39"/>
      <c r="C303"/>
      <c r="D303"/>
      <c r="E303" s="136"/>
      <c r="F303" s="136"/>
      <c r="G303" s="136"/>
      <c r="H303" s="136"/>
      <c r="I303" s="137"/>
      <c r="J303" s="137"/>
      <c r="P303" s="13"/>
    </row>
    <row r="304" spans="2:16" x14ac:dyDescent="0.25">
      <c r="B304" s="39"/>
      <c r="C304"/>
      <c r="D304"/>
      <c r="E304" s="136"/>
      <c r="F304" s="136"/>
      <c r="G304" s="136"/>
      <c r="H304" s="136"/>
      <c r="I304" s="137"/>
      <c r="J304" s="137"/>
      <c r="P304" s="13"/>
    </row>
    <row r="305" spans="2:23" x14ac:dyDescent="0.25">
      <c r="B305" s="39"/>
      <c r="C305"/>
      <c r="D305"/>
      <c r="E305" s="136"/>
      <c r="F305" s="136"/>
      <c r="G305" s="136"/>
      <c r="H305" s="136"/>
      <c r="I305" s="137"/>
      <c r="J305" s="137"/>
      <c r="P305" s="13"/>
    </row>
    <row r="306" spans="2:23" x14ac:dyDescent="0.25">
      <c r="B306" s="39"/>
      <c r="C306"/>
      <c r="D306"/>
      <c r="E306" s="136"/>
      <c r="F306" s="136"/>
      <c r="G306" s="136"/>
      <c r="H306" s="136"/>
      <c r="I306" s="137"/>
      <c r="J306" s="137"/>
      <c r="P306" s="13"/>
    </row>
    <row r="307" spans="2:23" x14ac:dyDescent="0.25">
      <c r="B307" s="39"/>
      <c r="C307"/>
      <c r="D307"/>
      <c r="E307" s="136"/>
      <c r="F307" s="136"/>
      <c r="G307" s="136"/>
      <c r="H307" s="136"/>
      <c r="I307" s="137"/>
      <c r="J307" s="137"/>
      <c r="P307" s="13"/>
    </row>
    <row r="308" spans="2:23" ht="14.25" thickBot="1" x14ac:dyDescent="0.3">
      <c r="B308" s="41"/>
      <c r="C308" s="43"/>
      <c r="D308" s="36"/>
      <c r="E308" s="36"/>
      <c r="F308" s="36"/>
      <c r="G308" s="36"/>
      <c r="H308" s="136"/>
      <c r="I308" s="137"/>
      <c r="J308" s="137"/>
      <c r="P308" s="13"/>
    </row>
    <row r="309" spans="2:23" s="3" customFormat="1" ht="18" thickBot="1" x14ac:dyDescent="0.35">
      <c r="B309" s="50" t="s">
        <v>358</v>
      </c>
      <c r="C309" s="199" t="s">
        <v>359</v>
      </c>
      <c r="D309" s="235" t="s">
        <v>304</v>
      </c>
      <c r="E309" s="200" t="s">
        <v>305</v>
      </c>
      <c r="F309" s="200" t="s">
        <v>306</v>
      </c>
      <c r="G309" s="201" t="s">
        <v>307</v>
      </c>
      <c r="H309" s="200" t="s">
        <v>308</v>
      </c>
      <c r="I309" s="200" t="s">
        <v>309</v>
      </c>
      <c r="J309" s="200" t="s">
        <v>310</v>
      </c>
      <c r="K309" s="200" t="s">
        <v>311</v>
      </c>
      <c r="L309" s="200" t="s">
        <v>312</v>
      </c>
      <c r="M309" s="200" t="s">
        <v>313</v>
      </c>
      <c r="N309" s="201" t="s">
        <v>275</v>
      </c>
      <c r="O309"/>
      <c r="P309" s="47"/>
      <c r="Q309" s="34"/>
      <c r="R309" s="34"/>
      <c r="S309" s="34"/>
      <c r="T309" s="34"/>
      <c r="U309" s="34"/>
      <c r="V309" s="34"/>
      <c r="W309" s="34"/>
    </row>
    <row r="310" spans="2:23" ht="18" thickBot="1" x14ac:dyDescent="0.35">
      <c r="B310" s="39"/>
      <c r="C310" s="202" t="s">
        <v>222</v>
      </c>
      <c r="D310" s="211">
        <v>1</v>
      </c>
      <c r="E310" s="212">
        <v>1</v>
      </c>
      <c r="F310" s="212">
        <v>1</v>
      </c>
      <c r="G310" s="212">
        <v>1</v>
      </c>
      <c r="H310" s="212">
        <v>1</v>
      </c>
      <c r="I310" s="212">
        <v>0.81</v>
      </c>
      <c r="J310" s="212">
        <v>1</v>
      </c>
      <c r="K310" s="212">
        <v>1</v>
      </c>
      <c r="L310" s="212">
        <v>1</v>
      </c>
      <c r="M310" s="212">
        <v>1</v>
      </c>
      <c r="N310" s="213">
        <v>1</v>
      </c>
      <c r="O310"/>
      <c r="P310" s="48"/>
      <c r="Q310"/>
      <c r="R310"/>
      <c r="S310"/>
      <c r="T310"/>
      <c r="U310"/>
      <c r="V310"/>
      <c r="W310"/>
    </row>
    <row r="311" spans="2:23" ht="18" thickBot="1" x14ac:dyDescent="0.35">
      <c r="B311" s="39"/>
      <c r="C311" s="202" t="s">
        <v>278</v>
      </c>
      <c r="D311" s="214">
        <v>1</v>
      </c>
      <c r="E311" s="215">
        <v>1</v>
      </c>
      <c r="F311" s="215">
        <v>1</v>
      </c>
      <c r="G311" s="215">
        <v>1</v>
      </c>
      <c r="H311" s="215">
        <v>1</v>
      </c>
      <c r="I311" s="215">
        <v>0.81</v>
      </c>
      <c r="J311" s="215">
        <v>1</v>
      </c>
      <c r="K311" s="215">
        <v>1</v>
      </c>
      <c r="L311" s="215">
        <v>1</v>
      </c>
      <c r="M311" s="215">
        <v>1</v>
      </c>
      <c r="N311" s="216">
        <v>1</v>
      </c>
      <c r="O311"/>
      <c r="P311" s="48"/>
      <c r="Q311"/>
      <c r="R311"/>
      <c r="S311"/>
      <c r="T311"/>
      <c r="U311"/>
      <c r="V311"/>
      <c r="W311"/>
    </row>
    <row r="312" spans="2:23" ht="14.25" hidden="1" thickBot="1" x14ac:dyDescent="0.3">
      <c r="B312" s="39"/>
      <c r="C312"/>
      <c r="D312"/>
      <c r="E312"/>
      <c r="F312"/>
      <c r="G312"/>
      <c r="H312"/>
      <c r="I312"/>
      <c r="J312"/>
      <c r="K312"/>
      <c r="L312"/>
      <c r="M312"/>
      <c r="P312" s="13"/>
    </row>
    <row r="313" spans="2:23" x14ac:dyDescent="0.25">
      <c r="B313" s="39"/>
      <c r="C313"/>
      <c r="D313"/>
      <c r="E313"/>
      <c r="F313"/>
      <c r="G313"/>
      <c r="H313"/>
      <c r="I313"/>
      <c r="J313"/>
      <c r="K313"/>
      <c r="L313"/>
      <c r="P313" s="13"/>
    </row>
    <row r="314" spans="2:23" x14ac:dyDescent="0.25">
      <c r="B314" s="39"/>
      <c r="C314"/>
      <c r="D314"/>
      <c r="E314"/>
      <c r="F314"/>
      <c r="G314"/>
      <c r="H314"/>
      <c r="I314"/>
      <c r="J314"/>
      <c r="K314"/>
      <c r="P314" s="13"/>
    </row>
    <row r="315" spans="2:23" x14ac:dyDescent="0.25">
      <c r="B315" s="39"/>
      <c r="C315"/>
      <c r="D315"/>
      <c r="E315"/>
      <c r="F315"/>
      <c r="G315"/>
      <c r="H315"/>
      <c r="I315"/>
      <c r="J315"/>
      <c r="P315" s="13"/>
    </row>
    <row r="316" spans="2:23" x14ac:dyDescent="0.25">
      <c r="B316" s="39"/>
      <c r="C316"/>
      <c r="D316"/>
      <c r="E316"/>
      <c r="F316"/>
      <c r="G316"/>
      <c r="H316"/>
      <c r="I316" s="139"/>
      <c r="J316" s="139"/>
      <c r="P316" s="13"/>
    </row>
    <row r="317" spans="2:23" x14ac:dyDescent="0.25">
      <c r="B317" s="39"/>
      <c r="C317"/>
      <c r="D317"/>
      <c r="E317"/>
      <c r="F317"/>
      <c r="G317"/>
      <c r="H317"/>
      <c r="I317" s="139"/>
      <c r="J317" s="139"/>
      <c r="P317" s="13"/>
    </row>
    <row r="318" spans="2:23" x14ac:dyDescent="0.25">
      <c r="B318" s="39"/>
      <c r="C318"/>
      <c r="D318"/>
      <c r="E318"/>
      <c r="F318"/>
      <c r="G318"/>
      <c r="H318"/>
      <c r="P318" s="13"/>
    </row>
    <row r="319" spans="2:23" x14ac:dyDescent="0.25">
      <c r="B319" s="39"/>
      <c r="C319"/>
      <c r="D319"/>
      <c r="E319"/>
      <c r="F319"/>
      <c r="G319"/>
      <c r="I319" s="14"/>
      <c r="J319" s="14"/>
      <c r="P319" s="13"/>
    </row>
    <row r="320" spans="2:23" x14ac:dyDescent="0.25">
      <c r="B320" s="39"/>
      <c r="C320"/>
      <c r="D320"/>
      <c r="E320"/>
      <c r="F320"/>
      <c r="G320"/>
      <c r="I320" s="139"/>
      <c r="J320" s="139"/>
      <c r="P320" s="13"/>
    </row>
    <row r="321" spans="2:23" x14ac:dyDescent="0.25">
      <c r="B321" s="39"/>
      <c r="C321"/>
      <c r="D321"/>
      <c r="E321"/>
      <c r="F321"/>
      <c r="G321"/>
      <c r="P321" s="13"/>
    </row>
    <row r="322" spans="2:23" x14ac:dyDescent="0.25">
      <c r="B322" s="39"/>
      <c r="P322" s="13"/>
    </row>
    <row r="323" spans="2:23" x14ac:dyDescent="0.25">
      <c r="B323" s="39"/>
      <c r="P323" s="13"/>
    </row>
    <row r="324" spans="2:23" x14ac:dyDescent="0.25">
      <c r="B324" s="39"/>
      <c r="P324" s="13"/>
    </row>
    <row r="325" spans="2:23" x14ac:dyDescent="0.25">
      <c r="B325" s="39"/>
      <c r="P325" s="13"/>
    </row>
    <row r="326" spans="2:23" x14ac:dyDescent="0.25">
      <c r="B326" s="39"/>
      <c r="P326" s="13"/>
    </row>
    <row r="327" spans="2:23" x14ac:dyDescent="0.25">
      <c r="B327" s="39"/>
      <c r="P327" s="13"/>
    </row>
    <row r="328" spans="2:23" x14ac:dyDescent="0.25">
      <c r="B328" s="39"/>
      <c r="P328" s="13"/>
    </row>
    <row r="329" spans="2:23" x14ac:dyDescent="0.25">
      <c r="B329" s="39"/>
      <c r="P329" s="13"/>
    </row>
    <row r="330" spans="2:23" ht="36.75" customHeight="1" x14ac:dyDescent="0.25">
      <c r="B330" s="39"/>
      <c r="P330" s="13"/>
    </row>
    <row r="331" spans="2:23" x14ac:dyDescent="0.25">
      <c r="B331" s="39"/>
      <c r="P331" s="13"/>
    </row>
    <row r="332" spans="2:23" s="3" customFormat="1" ht="17.25" hidden="1" thickBot="1" x14ac:dyDescent="0.35">
      <c r="B332" s="50" t="s">
        <v>360</v>
      </c>
      <c r="C332" s="190" t="s">
        <v>361</v>
      </c>
      <c r="D332" s="256" t="s">
        <v>304</v>
      </c>
      <c r="E332" s="209" t="s">
        <v>305</v>
      </c>
      <c r="F332" s="209" t="s">
        <v>306</v>
      </c>
      <c r="G332" s="210" t="s">
        <v>307</v>
      </c>
      <c r="H332" s="17" t="s">
        <v>308</v>
      </c>
      <c r="I332" s="12" t="s">
        <v>309</v>
      </c>
      <c r="J332"/>
      <c r="K332"/>
      <c r="L332"/>
      <c r="M332"/>
      <c r="N332"/>
      <c r="O332"/>
      <c r="P332" s="47"/>
      <c r="Q332" s="34"/>
      <c r="R332" s="34"/>
      <c r="S332" s="34"/>
      <c r="T332" s="34"/>
      <c r="U332" s="34"/>
      <c r="V332" s="34"/>
      <c r="W332" s="34"/>
    </row>
    <row r="333" spans="2:23" ht="16.5" hidden="1" x14ac:dyDescent="0.3">
      <c r="B333" s="39"/>
      <c r="C333" s="182" t="s">
        <v>253</v>
      </c>
      <c r="D333" s="183">
        <v>1</v>
      </c>
      <c r="E333" s="184">
        <v>0.75</v>
      </c>
      <c r="F333" s="184">
        <v>0.8</v>
      </c>
      <c r="G333" s="184">
        <v>1</v>
      </c>
      <c r="H333" s="184">
        <v>1</v>
      </c>
      <c r="I333" s="185">
        <v>1</v>
      </c>
      <c r="J333"/>
      <c r="K333"/>
      <c r="L333"/>
      <c r="M333"/>
      <c r="N333"/>
      <c r="O333"/>
      <c r="P333" s="48"/>
      <c r="Q333"/>
      <c r="R333"/>
      <c r="S333"/>
      <c r="T333"/>
      <c r="U333"/>
      <c r="V333"/>
      <c r="W333"/>
    </row>
    <row r="334" spans="2:23" ht="16.5" hidden="1" x14ac:dyDescent="0.3">
      <c r="B334" s="39"/>
      <c r="C334" s="206" t="s">
        <v>249</v>
      </c>
      <c r="D334" s="207">
        <v>0.7</v>
      </c>
      <c r="E334" s="266">
        <v>0.75</v>
      </c>
      <c r="F334" s="266">
        <v>0.8</v>
      </c>
      <c r="G334" s="266">
        <v>1</v>
      </c>
      <c r="H334" s="266">
        <v>1</v>
      </c>
      <c r="I334" s="208">
        <v>1</v>
      </c>
      <c r="J334"/>
      <c r="K334"/>
      <c r="L334"/>
      <c r="M334"/>
      <c r="N334"/>
      <c r="O334"/>
      <c r="P334" s="48"/>
      <c r="Q334"/>
      <c r="R334"/>
      <c r="S334"/>
      <c r="T334"/>
      <c r="U334"/>
      <c r="V334"/>
      <c r="W334"/>
    </row>
    <row r="335" spans="2:23" ht="16.5" hidden="1" x14ac:dyDescent="0.3">
      <c r="B335" s="39"/>
      <c r="C335" s="206" t="s">
        <v>256</v>
      </c>
      <c r="D335" s="207">
        <v>1</v>
      </c>
      <c r="E335" s="266">
        <v>1</v>
      </c>
      <c r="F335" s="266">
        <v>1</v>
      </c>
      <c r="G335" s="266">
        <v>1</v>
      </c>
      <c r="H335" s="266">
        <v>1</v>
      </c>
      <c r="I335" s="208">
        <v>1</v>
      </c>
      <c r="J335"/>
      <c r="K335"/>
      <c r="L335"/>
      <c r="M335"/>
      <c r="N335"/>
      <c r="O335"/>
      <c r="P335" s="13"/>
    </row>
    <row r="336" spans="2:23" ht="16.5" hidden="1" x14ac:dyDescent="0.3">
      <c r="B336" s="39"/>
      <c r="C336" s="206" t="s">
        <v>242</v>
      </c>
      <c r="D336" s="207">
        <v>1</v>
      </c>
      <c r="E336" s="266">
        <v>0.52</v>
      </c>
      <c r="F336" s="266">
        <v>0.84</v>
      </c>
      <c r="G336" s="266">
        <v>0.92</v>
      </c>
      <c r="H336" s="266">
        <v>0.92</v>
      </c>
      <c r="I336" s="208">
        <v>0.92</v>
      </c>
      <c r="J336"/>
      <c r="K336"/>
      <c r="L336"/>
      <c r="M336"/>
      <c r="N336"/>
      <c r="O336"/>
      <c r="P336" s="13"/>
    </row>
    <row r="337" spans="2:16" ht="17.25" hidden="1" thickBot="1" x14ac:dyDescent="0.35">
      <c r="B337" s="39"/>
      <c r="C337" s="186" t="s">
        <v>245</v>
      </c>
      <c r="D337" s="187">
        <v>1</v>
      </c>
      <c r="E337" s="188">
        <v>1</v>
      </c>
      <c r="F337" s="188">
        <v>1</v>
      </c>
      <c r="G337" s="188">
        <v>1</v>
      </c>
      <c r="H337" s="188">
        <v>1</v>
      </c>
      <c r="I337" s="189">
        <v>1</v>
      </c>
      <c r="J337"/>
      <c r="K337"/>
      <c r="L337"/>
      <c r="M337"/>
      <c r="N337"/>
      <c r="O337"/>
      <c r="P337" s="13"/>
    </row>
    <row r="338" spans="2:16" ht="14.25" hidden="1" thickBot="1" x14ac:dyDescent="0.3">
      <c r="B338" s="39"/>
      <c r="C338" s="20" t="s">
        <v>278</v>
      </c>
      <c r="D338" s="35">
        <v>4.7</v>
      </c>
      <c r="E338" s="36">
        <v>4.0199999999999996</v>
      </c>
      <c r="F338" s="36">
        <v>4.4399999999999995</v>
      </c>
      <c r="G338" s="36">
        <v>4.92</v>
      </c>
      <c r="H338" s="36">
        <v>4.92</v>
      </c>
      <c r="I338" s="37">
        <v>4.92</v>
      </c>
      <c r="J338"/>
      <c r="K338"/>
      <c r="L338"/>
      <c r="M338"/>
      <c r="N338"/>
      <c r="O338"/>
      <c r="P338" s="13"/>
    </row>
    <row r="339" spans="2:16" hidden="1" x14ac:dyDescent="0.25">
      <c r="B339" s="39"/>
      <c r="C339"/>
      <c r="D339"/>
      <c r="E339"/>
      <c r="F339"/>
      <c r="G339"/>
      <c r="H339"/>
      <c r="I339"/>
      <c r="J339"/>
      <c r="P339" s="13"/>
    </row>
    <row r="340" spans="2:16" hidden="1" x14ac:dyDescent="0.25">
      <c r="B340" s="39"/>
      <c r="C340"/>
      <c r="D340"/>
      <c r="E340"/>
      <c r="F340"/>
      <c r="G340"/>
      <c r="H340"/>
      <c r="I340"/>
      <c r="J340"/>
      <c r="P340" s="13"/>
    </row>
    <row r="341" spans="2:16" hidden="1" x14ac:dyDescent="0.25">
      <c r="B341" s="39"/>
      <c r="C341"/>
      <c r="D341"/>
      <c r="E341"/>
      <c r="F341"/>
      <c r="G341"/>
      <c r="H341"/>
      <c r="I341"/>
      <c r="J341"/>
      <c r="P341" s="13"/>
    </row>
    <row r="342" spans="2:16" hidden="1" x14ac:dyDescent="0.25">
      <c r="B342" s="39"/>
      <c r="C342"/>
      <c r="D342"/>
      <c r="E342"/>
      <c r="F342"/>
      <c r="G342"/>
      <c r="H342"/>
      <c r="I342"/>
      <c r="J342"/>
      <c r="P342" s="13"/>
    </row>
    <row r="343" spans="2:16" hidden="1" x14ac:dyDescent="0.25">
      <c r="B343" s="39"/>
      <c r="C343"/>
      <c r="D343"/>
      <c r="E343"/>
      <c r="F343"/>
      <c r="G343"/>
      <c r="H343"/>
      <c r="I343"/>
      <c r="J343"/>
      <c r="P343" s="13"/>
    </row>
    <row r="344" spans="2:16" hidden="1" x14ac:dyDescent="0.25">
      <c r="B344" s="39"/>
      <c r="C344"/>
      <c r="D344"/>
      <c r="E344"/>
      <c r="F344"/>
      <c r="G344"/>
      <c r="H344"/>
      <c r="I344"/>
      <c r="J344"/>
      <c r="P344" s="13"/>
    </row>
    <row r="345" spans="2:16" hidden="1" x14ac:dyDescent="0.25">
      <c r="B345" s="39"/>
      <c r="C345"/>
      <c r="D345"/>
      <c r="E345"/>
      <c r="F345"/>
      <c r="G345"/>
      <c r="H345"/>
      <c r="I345"/>
      <c r="J345"/>
      <c r="P345" s="13"/>
    </row>
    <row r="346" spans="2:16" hidden="1" x14ac:dyDescent="0.25">
      <c r="B346" s="39"/>
      <c r="C346"/>
      <c r="D346"/>
      <c r="E346"/>
      <c r="F346"/>
      <c r="G346"/>
      <c r="H346"/>
      <c r="I346"/>
      <c r="J346"/>
      <c r="P346" s="13"/>
    </row>
    <row r="347" spans="2:16" hidden="1" x14ac:dyDescent="0.25">
      <c r="B347" s="39"/>
      <c r="C347"/>
      <c r="D347"/>
      <c r="E347"/>
      <c r="F347"/>
      <c r="G347"/>
      <c r="H347"/>
      <c r="I347"/>
      <c r="J347"/>
      <c r="P347" s="13"/>
    </row>
    <row r="348" spans="2:16" hidden="1" x14ac:dyDescent="0.25">
      <c r="B348" s="39"/>
      <c r="C348"/>
      <c r="D348"/>
      <c r="E348"/>
      <c r="F348"/>
      <c r="G348"/>
      <c r="H348"/>
      <c r="I348"/>
      <c r="J348"/>
      <c r="P348" s="13"/>
    </row>
    <row r="349" spans="2:16" hidden="1" x14ac:dyDescent="0.25">
      <c r="B349" s="39"/>
      <c r="C349"/>
      <c r="D349"/>
      <c r="E349"/>
      <c r="F349"/>
      <c r="G349"/>
      <c r="H349"/>
      <c r="I349"/>
      <c r="J349"/>
      <c r="P349" s="13"/>
    </row>
    <row r="350" spans="2:16" hidden="1" x14ac:dyDescent="0.25">
      <c r="B350" s="39"/>
      <c r="C350"/>
      <c r="D350"/>
      <c r="E350"/>
      <c r="F350"/>
      <c r="G350"/>
      <c r="H350"/>
      <c r="I350"/>
      <c r="J350"/>
      <c r="P350" s="13"/>
    </row>
    <row r="351" spans="2:16" hidden="1" x14ac:dyDescent="0.25">
      <c r="B351" s="39"/>
      <c r="C351"/>
      <c r="D351"/>
      <c r="E351"/>
      <c r="F351"/>
      <c r="G351"/>
      <c r="H351"/>
      <c r="I351"/>
      <c r="J351"/>
      <c r="P351" s="13"/>
    </row>
    <row r="352" spans="2:16" hidden="1" x14ac:dyDescent="0.25">
      <c r="B352" s="39"/>
      <c r="C352"/>
      <c r="D352"/>
      <c r="E352"/>
      <c r="F352"/>
      <c r="G352"/>
      <c r="H352"/>
      <c r="I352"/>
      <c r="J352"/>
      <c r="P352" s="13"/>
    </row>
    <row r="353" spans="2:23" hidden="1" x14ac:dyDescent="0.25">
      <c r="B353" s="39"/>
      <c r="C353"/>
      <c r="D353"/>
      <c r="E353"/>
      <c r="F353"/>
      <c r="G353"/>
      <c r="H353"/>
      <c r="I353"/>
      <c r="J353"/>
      <c r="P353" s="13"/>
    </row>
    <row r="354" spans="2:23" hidden="1" x14ac:dyDescent="0.25">
      <c r="B354" s="39"/>
      <c r="C354"/>
      <c r="D354"/>
      <c r="E354"/>
      <c r="F354"/>
      <c r="G354"/>
      <c r="H354"/>
      <c r="I354"/>
      <c r="J354"/>
      <c r="P354" s="13"/>
    </row>
    <row r="355" spans="2:23" hidden="1" x14ac:dyDescent="0.25">
      <c r="B355" s="39"/>
      <c r="C355"/>
      <c r="D355"/>
      <c r="E355"/>
      <c r="F355"/>
      <c r="G355"/>
      <c r="H355"/>
      <c r="I355"/>
      <c r="J355"/>
      <c r="P355" s="13"/>
    </row>
    <row r="356" spans="2:23" ht="14.25" hidden="1" thickBot="1" x14ac:dyDescent="0.3">
      <c r="B356" s="41"/>
      <c r="C356" s="55"/>
      <c r="D356" s="55"/>
      <c r="E356" s="55"/>
      <c r="F356" s="55"/>
      <c r="G356" s="55"/>
      <c r="H356" s="55"/>
      <c r="I356" s="55"/>
      <c r="J356" s="55"/>
      <c r="K356" s="15"/>
      <c r="L356" s="15"/>
      <c r="M356" s="15"/>
      <c r="N356" s="15"/>
      <c r="O356" s="15"/>
      <c r="P356" s="16"/>
    </row>
    <row r="357" spans="2:23" s="3" customFormat="1" ht="17.25" hidden="1" thickBot="1" x14ac:dyDescent="0.3">
      <c r="B357" s="50" t="s">
        <v>362</v>
      </c>
      <c r="C357" s="190" t="s">
        <v>363</v>
      </c>
      <c r="D357" s="243" t="s">
        <v>280</v>
      </c>
      <c r="E357" s="244" t="s">
        <v>364</v>
      </c>
      <c r="F357" s="244" t="s">
        <v>365</v>
      </c>
      <c r="G357" s="245" t="s">
        <v>366</v>
      </c>
      <c r="H357" s="17" t="s">
        <v>367</v>
      </c>
      <c r="I357" s="12" t="s">
        <v>368</v>
      </c>
      <c r="J357" s="56"/>
      <c r="K357" s="56"/>
      <c r="L357" s="56"/>
      <c r="M357" s="56"/>
      <c r="N357" s="56"/>
      <c r="O357" s="56"/>
      <c r="P357" s="141"/>
      <c r="Q357" s="34"/>
      <c r="R357" s="34"/>
      <c r="S357" s="34"/>
      <c r="T357" s="34"/>
      <c r="U357" s="34"/>
      <c r="V357" s="34"/>
      <c r="W357" s="34"/>
    </row>
    <row r="358" spans="2:23" ht="16.5" hidden="1" x14ac:dyDescent="0.25">
      <c r="B358" s="39"/>
      <c r="C358" s="242" t="s">
        <v>267</v>
      </c>
      <c r="D358" s="236">
        <v>0</v>
      </c>
      <c r="E358" s="237">
        <v>0.1429</v>
      </c>
      <c r="F358" s="237">
        <v>0.28570000000000001</v>
      </c>
      <c r="G358" s="237">
        <v>0.25</v>
      </c>
      <c r="H358" s="237">
        <v>0.125</v>
      </c>
      <c r="I358" s="238">
        <v>0.125</v>
      </c>
      <c r="J358"/>
      <c r="K358"/>
      <c r="L358"/>
      <c r="M358"/>
      <c r="N358"/>
      <c r="O358"/>
      <c r="P358" s="48"/>
      <c r="Q358"/>
      <c r="R358"/>
      <c r="S358"/>
      <c r="T358"/>
      <c r="U358"/>
      <c r="V358"/>
      <c r="W358"/>
    </row>
    <row r="359" spans="2:23" ht="17.25" hidden="1" thickBot="1" x14ac:dyDescent="0.3">
      <c r="B359" s="39"/>
      <c r="C359" s="228" t="s">
        <v>265</v>
      </c>
      <c r="D359" s="239">
        <v>9.5799999999999996E-2</v>
      </c>
      <c r="E359" s="240">
        <v>0.13739999999999999</v>
      </c>
      <c r="F359" s="240">
        <v>0.1101</v>
      </c>
      <c r="G359" s="240">
        <v>0.1191</v>
      </c>
      <c r="H359" s="240">
        <v>0.1426</v>
      </c>
      <c r="I359" s="241">
        <v>0.1017</v>
      </c>
      <c r="J359"/>
      <c r="K359"/>
      <c r="L359"/>
      <c r="M359"/>
      <c r="N359"/>
      <c r="O359"/>
      <c r="P359" s="48"/>
      <c r="Q359"/>
      <c r="R359"/>
      <c r="S359"/>
      <c r="T359"/>
      <c r="U359"/>
      <c r="V359"/>
      <c r="W359"/>
    </row>
    <row r="360" spans="2:23" ht="14.25" hidden="1" thickBot="1" x14ac:dyDescent="0.3">
      <c r="B360" s="39"/>
      <c r="C360" s="20" t="s">
        <v>278</v>
      </c>
      <c r="D360" s="35">
        <v>9.5799999999999996E-2</v>
      </c>
      <c r="E360" s="36">
        <v>0.28029999999999999</v>
      </c>
      <c r="F360" s="36">
        <v>0.39580000000000004</v>
      </c>
      <c r="G360" s="36">
        <v>0.36909999999999998</v>
      </c>
      <c r="H360" s="36">
        <v>0.2676</v>
      </c>
      <c r="I360" s="37">
        <v>0.22670000000000001</v>
      </c>
      <c r="J360"/>
      <c r="K360"/>
      <c r="L360"/>
      <c r="M360"/>
      <c r="N360"/>
      <c r="O360"/>
      <c r="P360" s="13"/>
    </row>
    <row r="361" spans="2:23" hidden="1" x14ac:dyDescent="0.25">
      <c r="B361" s="39"/>
      <c r="C361"/>
      <c r="D361"/>
      <c r="E361"/>
      <c r="F361"/>
      <c r="G361"/>
      <c r="H361"/>
      <c r="I361"/>
      <c r="J361"/>
      <c r="P361" s="13"/>
    </row>
    <row r="362" spans="2:23" hidden="1" x14ac:dyDescent="0.25">
      <c r="B362" s="39"/>
      <c r="C362"/>
      <c r="D362"/>
      <c r="E362"/>
      <c r="F362"/>
      <c r="G362"/>
      <c r="H362"/>
      <c r="I362"/>
      <c r="J362"/>
      <c r="P362" s="13"/>
    </row>
    <row r="363" spans="2:23" hidden="1" x14ac:dyDescent="0.25">
      <c r="B363" s="39"/>
      <c r="C363"/>
      <c r="D363"/>
      <c r="E363"/>
      <c r="F363"/>
      <c r="G363"/>
      <c r="H363"/>
      <c r="I363"/>
      <c r="J363"/>
      <c r="P363" s="13"/>
    </row>
    <row r="364" spans="2:23" hidden="1" x14ac:dyDescent="0.25">
      <c r="B364" s="39"/>
      <c r="C364"/>
      <c r="D364"/>
      <c r="E364"/>
      <c r="F364"/>
      <c r="G364"/>
      <c r="H364"/>
      <c r="I364"/>
      <c r="J364"/>
      <c r="P364" s="13"/>
    </row>
    <row r="365" spans="2:23" hidden="1" x14ac:dyDescent="0.25">
      <c r="B365" s="39"/>
      <c r="C365"/>
      <c r="D365"/>
      <c r="E365"/>
      <c r="F365"/>
      <c r="G365"/>
      <c r="H365"/>
      <c r="I365"/>
      <c r="J365"/>
      <c r="P365" s="13"/>
    </row>
    <row r="366" spans="2:23" hidden="1" x14ac:dyDescent="0.25">
      <c r="B366" s="39"/>
      <c r="C366"/>
      <c r="D366"/>
      <c r="E366"/>
      <c r="F366"/>
      <c r="G366"/>
      <c r="H366"/>
      <c r="I366"/>
      <c r="J366"/>
      <c r="P366" s="13"/>
    </row>
    <row r="367" spans="2:23" hidden="1" x14ac:dyDescent="0.25">
      <c r="B367" s="39"/>
      <c r="C367"/>
      <c r="D367"/>
      <c r="E367"/>
      <c r="F367"/>
      <c r="G367"/>
      <c r="H367"/>
      <c r="I367"/>
      <c r="J367"/>
      <c r="P367" s="13"/>
    </row>
    <row r="368" spans="2:23" ht="36" hidden="1" customHeight="1" x14ac:dyDescent="0.25">
      <c r="B368" s="39"/>
      <c r="C368"/>
      <c r="D368"/>
      <c r="E368"/>
      <c r="P368" s="13"/>
    </row>
    <row r="369" spans="2:16" ht="36" hidden="1" customHeight="1" x14ac:dyDescent="0.25">
      <c r="B369" s="39"/>
      <c r="C369"/>
      <c r="D369"/>
      <c r="E369"/>
      <c r="P369" s="13"/>
    </row>
    <row r="370" spans="2:16" ht="36" hidden="1" customHeight="1" x14ac:dyDescent="0.25">
      <c r="B370" s="39"/>
      <c r="C370"/>
      <c r="D370"/>
      <c r="E370"/>
      <c r="P370" s="13"/>
    </row>
    <row r="371" spans="2:16" hidden="1" x14ac:dyDescent="0.25">
      <c r="B371" s="39"/>
      <c r="C371"/>
      <c r="D371"/>
      <c r="E371"/>
      <c r="P371" s="13"/>
    </row>
    <row r="372" spans="2:16" hidden="1" x14ac:dyDescent="0.25">
      <c r="B372" s="39"/>
      <c r="C372"/>
      <c r="D372"/>
      <c r="E372"/>
      <c r="P372" s="13"/>
    </row>
    <row r="373" spans="2:16" hidden="1" x14ac:dyDescent="0.25">
      <c r="B373" s="39"/>
      <c r="C373"/>
      <c r="D373"/>
      <c r="E373"/>
      <c r="P373" s="13"/>
    </row>
    <row r="374" spans="2:16" hidden="1" x14ac:dyDescent="0.25">
      <c r="B374" s="39"/>
      <c r="C374"/>
      <c r="D374"/>
      <c r="E374"/>
      <c r="P374" s="13"/>
    </row>
    <row r="375" spans="2:16" hidden="1" x14ac:dyDescent="0.25">
      <c r="B375" s="39"/>
      <c r="C375"/>
      <c r="D375"/>
      <c r="E375"/>
      <c r="P375" s="13"/>
    </row>
    <row r="376" spans="2:16" hidden="1" x14ac:dyDescent="0.25">
      <c r="B376" s="39"/>
      <c r="C376"/>
      <c r="D376"/>
      <c r="E376"/>
      <c r="P376" s="13"/>
    </row>
    <row r="377" spans="2:16" hidden="1" x14ac:dyDescent="0.25">
      <c r="B377" s="39"/>
      <c r="C377"/>
      <c r="D377"/>
      <c r="E377"/>
      <c r="P377" s="13"/>
    </row>
    <row r="378" spans="2:16" hidden="1" x14ac:dyDescent="0.25">
      <c r="B378" s="39"/>
      <c r="C378"/>
      <c r="D378"/>
      <c r="P378" s="13"/>
    </row>
    <row r="379" spans="2:16" hidden="1" x14ac:dyDescent="0.25">
      <c r="B379" s="39"/>
      <c r="C379"/>
      <c r="D379"/>
      <c r="P379" s="13"/>
    </row>
    <row r="380" spans="2:16" hidden="1" x14ac:dyDescent="0.25">
      <c r="B380" s="39"/>
      <c r="C380"/>
      <c r="D380"/>
      <c r="P380" s="13"/>
    </row>
    <row r="381" spans="2:16" hidden="1" x14ac:dyDescent="0.25">
      <c r="B381" s="39"/>
      <c r="C381"/>
      <c r="D381"/>
      <c r="P381" s="13"/>
    </row>
    <row r="382" spans="2:16" hidden="1" x14ac:dyDescent="0.25">
      <c r="B382" s="39"/>
      <c r="P382" s="13"/>
    </row>
    <row r="383" spans="2:16" ht="14.25" hidden="1" thickBot="1" x14ac:dyDescent="0.3">
      <c r="B383" s="41"/>
      <c r="C383" s="15"/>
      <c r="D383" s="33"/>
      <c r="E383" s="33"/>
      <c r="F383" s="33"/>
      <c r="G383" s="33"/>
      <c r="H383" s="15"/>
      <c r="I383" s="15"/>
      <c r="J383" s="15"/>
      <c r="K383" s="15"/>
      <c r="L383" s="15"/>
      <c r="M383" s="15"/>
      <c r="N383" s="15"/>
      <c r="O383" s="15"/>
      <c r="P383" s="16"/>
    </row>
  </sheetData>
  <sheetProtection formatCells="0" formatColumns="0" formatRows="0" insertColumns="0" insertRows="0" insertHyperlinks="0" deleteColumns="0" deleteRows="0" sort="0" autoFilter="0" pivotTables="0"/>
  <mergeCells count="4">
    <mergeCell ref="B7:C7"/>
    <mergeCell ref="D7:J7"/>
    <mergeCell ref="K7:P7"/>
    <mergeCell ref="B5:P6"/>
  </mergeCells>
  <printOptions horizontalCentered="1" verticalCentered="1"/>
  <pageMargins left="0" right="0.15" top="0.31496062992125984" bottom="0" header="0" footer="0"/>
  <pageSetup scale="43" fitToHeight="0" orientation="portrait" r:id="rId17"/>
  <rowBreaks count="3" manualBreakCount="3">
    <brk id="139" max="16383" man="1"/>
    <brk id="240" max="16383" man="1"/>
    <brk id="356" max="16383" man="1"/>
  </rowBreaks>
  <drawing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B2D01B15E384409F745933F28D9657" ma:contentTypeVersion="18" ma:contentTypeDescription="Crear nuevo documento." ma:contentTypeScope="" ma:versionID="9ae8ea6cfbec7e92cf6002a7ddaad72a">
  <xsd:schema xmlns:xsd="http://www.w3.org/2001/XMLSchema" xmlns:xs="http://www.w3.org/2001/XMLSchema" xmlns:p="http://schemas.microsoft.com/office/2006/metadata/properties" xmlns:ns2="327c2423-4f7f-4e0e-adaa-c61a5f873c26" xmlns:ns3="62b9ae43-aec8-40a5-a558-18e2570f978b" targetNamespace="http://schemas.microsoft.com/office/2006/metadata/properties" ma:root="true" ma:fieldsID="f8ea743b0fea26b8d243a6d2732062c3" ns2:_="" ns3:_="">
    <xsd:import namespace="327c2423-4f7f-4e0e-adaa-c61a5f873c26"/>
    <xsd:import namespace="62b9ae43-aec8-40a5-a558-18e2570f97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c2423-4f7f-4e0e-adaa-c61a5f873c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2c333a1-7048-4199-8741-493278d4c1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9ae43-aec8-40a5-a558-18e2570f978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29b4967-2a04-408c-bd87-6014307d91db}" ma:internalName="TaxCatchAll" ma:showField="CatchAllData" ma:web="62b9ae43-aec8-40a5-a558-18e2570f9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b9ae43-aec8-40a5-a558-18e2570f978b" xsi:nil="true"/>
    <lcf76f155ced4ddcb4097134ff3c332f xmlns="327c2423-4f7f-4e0e-adaa-c61a5f873c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9859EE-F588-488A-9CD9-4C465F4A5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c2423-4f7f-4e0e-adaa-c61a5f873c26"/>
    <ds:schemaRef ds:uri="62b9ae43-aec8-40a5-a558-18e2570f9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B78254-8E56-439D-BF10-50A4EDC4EE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9BBAED-D23D-4052-87D1-B350330CE9F8}">
  <ds:schemaRefs>
    <ds:schemaRef ds:uri="http://schemas.microsoft.com/office/2006/metadata/properties"/>
    <ds:schemaRef ds:uri="http://schemas.microsoft.com/office/infopath/2007/PartnerControls"/>
    <ds:schemaRef ds:uri="62b9ae43-aec8-40a5-a558-18e2570f978b"/>
    <ds:schemaRef ds:uri="327c2423-4f7f-4e0e-adaa-c61a5f873c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INDICADORES HSE 2026</vt:lpstr>
      <vt:lpstr>INDICADORES HSE 2025 (DC)</vt:lpstr>
      <vt:lpstr>GRAF HSE</vt:lpstr>
      <vt:lpstr>'INDICADORES HSE 2025 (DC)'!Área_de_impresión</vt:lpstr>
      <vt:lpstr>'INDICADORES HSE 2026'!Área_de_impresión</vt:lpstr>
      <vt:lpstr>'GRAF HSE'!Títulos_a_imprimir</vt:lpstr>
      <vt:lpstr>'INDICADORES HSE 2025 (DC)'!Títulos_a_imprimir</vt:lpstr>
      <vt:lpstr>'INDICADORES HSE 2026'!Títulos_a_imprimir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REINOSO</dc:creator>
  <cp:keywords/>
  <dc:description/>
  <cp:lastModifiedBy>DIEGO CUSHI</cp:lastModifiedBy>
  <cp:revision/>
  <cp:lastPrinted>2026-10-13T20:19:20Z</cp:lastPrinted>
  <dcterms:created xsi:type="dcterms:W3CDTF">2005-07-05T18:28:04Z</dcterms:created>
  <dcterms:modified xsi:type="dcterms:W3CDTF">2026-10-13T20:19:25Z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0x0101001FB2D01B15E384409F745933F28D9657</vt:lpwstr>
  </property>
  <property fmtid="{D5CDD505-2E9C-101B-9397-08002B2CF9AE}" pid="3" name="MediaServiceImageTags">
    <vt:lpwstr/>
  </property>
</Properties>
</file>